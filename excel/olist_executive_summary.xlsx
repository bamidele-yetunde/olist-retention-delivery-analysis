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mise buffer" sheetId="2" state="visible" r:id="rId2"/>
    <sheet xmlns:r="http://schemas.openxmlformats.org/officeDocument/2006/relationships" name="Delay vs reviews" sheetId="3" state="visible" r:id="rId3"/>
    <sheet xmlns:r="http://schemas.openxmlformats.org/officeDocument/2006/relationships" name="Promise vs speed" sheetId="4" state="visible" r:id="rId4"/>
    <sheet xmlns:r="http://schemas.openxmlformats.org/officeDocument/2006/relationships" name="By month" sheetId="5" state="visible" r:id="rId5"/>
    <sheet xmlns:r="http://schemas.openxmlformats.org/officeDocument/2006/relationships" name="By state" sheetId="6" state="visible" r:id="rId6"/>
    <sheet xmlns:r="http://schemas.openxmlformats.org/officeDocument/2006/relationships" name="Late routes" sheetId="7" state="visible" r:id="rId7"/>
    <sheet xmlns:r="http://schemas.openxmlformats.org/officeDocument/2006/relationships" name="Categories" sheetId="8" state="visible" r:id="rId8"/>
    <sheet xmlns:r="http://schemas.openxmlformats.org/officeDocument/2006/relationships" name="Cohorts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#,##0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0B0B0B"/>
      <sz val="16"/>
    </font>
    <font>
      <name val="Arial"/>
      <i val="1"/>
      <color rgb="0052514E"/>
      <sz val="9"/>
    </font>
    <font>
      <name val="Arial"/>
      <b val="1"/>
      <color rgb="001C5CAB"/>
      <sz val="18"/>
    </font>
    <font>
      <name val="Arial"/>
      <b val="1"/>
      <color rgb="001C5CAB"/>
      <sz val="14"/>
    </font>
    <font>
      <name val="Arial"/>
      <b val="1"/>
      <color rgb="000B0B0B"/>
      <sz val="10"/>
    </font>
    <font>
      <name val="Arial"/>
      <color rgb="000B0B0B"/>
      <sz val="10"/>
    </font>
    <font>
      <name val="Arial"/>
      <b val="1"/>
      <color rgb="000000FF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AF1FB"/>
      </patternFill>
    </fill>
    <fill>
      <patternFill patternType="solid">
        <fgColor rgb="00FFFF00"/>
      </patternFill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3" fontId="3" fillId="2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left" vertical="center" wrapText="1"/>
    </xf>
    <xf numFmtId="165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3" fontId="6" fillId="3" borderId="0" pivotButton="0" quotePrefix="0" xfId="0"/>
    <xf numFmtId="10" fontId="7" fillId="4" borderId="1" pivotButton="0" quotePrefix="0" xfId="0"/>
    <xf numFmtId="10" fontId="6" fillId="3" borderId="0" pivotButton="0" quotePrefix="0" xfId="0"/>
    <xf numFmtId="1" fontId="7" fillId="4" borderId="1" pivotButton="0" quotePrefix="0" xfId="0"/>
    <xf numFmtId="165" fontId="6" fillId="3" borderId="0" pivotButton="0" quotePrefix="0" xfId="0"/>
    <xf numFmtId="4" fontId="6" fillId="3" borderId="0" pivotButton="0" quotePrefix="0" xfId="0"/>
    <xf numFmtId="3" fontId="6" fillId="0" borderId="1" pivotButton="0" quotePrefix="0" xfId="0"/>
    <xf numFmtId="4" fontId="6" fillId="0" borderId="1" pivotButton="0" quotePrefix="0" xfId="0"/>
    <xf numFmtId="164" fontId="6" fillId="3" borderId="0" pivotButton="0" quotePrefix="0" xfId="0"/>
    <xf numFmtId="166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0" fontId="6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review score by delivery vs promise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'Delay vs reviews'!D1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'Delay vs reviews'!$A$2:$A$7</f>
            </numRef>
          </cat>
          <val>
            <numRef>
              <f>'Delay vs reviews'!$D$2:$D$7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of orders delivered late,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'By month'!D1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month'!$A$2:$A$21</f>
            </numRef>
          </cat>
          <val>
            <numRef>
              <f>'By month'!$D$2:$D$21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analysis</author>
  </authors>
  <commentList>
    <comment ref="B20" authorId="0" shapeId="0">
      <text>
        <t>Source: 96,203 orders / 20 months × 12</t>
      </text>
    </comment>
    <comment ref="B21" authorId="0" shapeId="0">
      <text>
        <t>Source: sql/20_headline_numbers.sql</t>
      </text>
    </comment>
    <comment ref="B22" authorId="0" shapeId="0">
      <text>
        <t>Source: sql/20_headline_numbers.sql</t>
      </text>
    </comment>
    <comment ref="B23" authorId="0" shapeId="0">
      <text>
        <t>Source: sql/20_headline_numbers.sql</t>
      </text>
    </comment>
    <comment ref="B24" authorId="0" shapeId="0">
      <text>
        <t>Source: sql/20_headline_numbers.sql</t>
      </text>
    </comment>
    <comment ref="B25" authorId="0" shapeId="0">
      <text>
        <t>Source: sql/20_headline_numbers.sql</t>
      </text>
    </comment>
    <comment ref="B26" authorId="0" shapeId="0">
      <text>
        <t>Source: sql/17_repeat_purchase.sql</t>
      </text>
    </comment>
    <comment ref="B27" authorId="0" shapeId="0">
      <text>
        <t>Source: sql/17_repeat_purchase.sql</t>
      </text>
    </comment>
    <comment ref="B28" authorId="0" shapeId="0">
      <text>
        <t>Source: sql/20_headline_numbers.sql</t>
      </text>
    </comment>
    <comment ref="B29" authorId="0" shapeId="0">
      <text>
        <t>Source: sql/20_headline_numbers.sql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" customWidth="1" min="3" max="3"/>
    <col width="4" customWidth="1" min="4" max="4"/>
    <col width="54" customWidth="1" min="5" max="5"/>
    <col width="18" customWidth="1" min="6" max="6"/>
    <col width="4" customWidth="1" min="7" max="7"/>
    <col width="4" customWidth="1" min="8" max="8"/>
  </cols>
  <sheetData>
    <row r="1">
      <c r="A1" s="1" t="inlineStr">
        <is>
          <t>Olist e-commerce: why late deliveries cost reviews, and what to fix first</t>
        </is>
      </c>
    </row>
    <row r="2">
      <c r="A2" s="2" t="inlineStr">
        <is>
          <t>96,203 delivered orders, Jan 2017 – Aug 2018 · Source: Brazilian E-Commerce Public Dataset by Olist (Kaggle) · numbers from sql/20_headline_numbers.sql and notebooks/olist_analysis.ipynb</t>
        </is>
      </c>
    </row>
    <row r="4">
      <c r="A4" s="3" t="inlineStr">
        <is>
          <t>Delivered orders</t>
        </is>
      </c>
      <c r="B4" s="3" t="inlineStr">
        <is>
          <t>Revenue (R$)</t>
        </is>
      </c>
      <c r="E4" s="3" t="inlineStr">
        <is>
          <t>Orders delivered late</t>
        </is>
      </c>
    </row>
    <row r="5">
      <c r="A5" s="4" t="n">
        <v>96203</v>
      </c>
      <c r="B5" s="5" t="n">
        <v>13179777.95</v>
      </c>
      <c r="E5" s="6" t="n">
        <v>0.06788769580990198</v>
      </c>
    </row>
    <row r="7">
      <c r="A7" s="3" t="inlineStr">
        <is>
          <t>Avg review: on time vs late</t>
        </is>
      </c>
      <c r="B7" s="3" t="inlineStr">
        <is>
          <t>1-star rate: on time vs late</t>
        </is>
      </c>
      <c r="E7" s="3" t="inlineStr">
        <is>
          <t>Customers who ever reorder</t>
        </is>
      </c>
    </row>
    <row r="8">
      <c r="A8" s="7" t="inlineStr">
        <is>
          <t>4.28 vs 2.26</t>
        </is>
      </c>
      <c r="B8" s="7" t="inlineStr">
        <is>
          <t>6.8% vs 54.2%</t>
        </is>
      </c>
      <c r="E8" s="6" t="n">
        <v>0.02995832259173327</v>
      </c>
    </row>
    <row r="11">
      <c r="A11" s="8" t="inlineStr">
        <is>
          <t>What the data says</t>
        </is>
      </c>
    </row>
    <row r="12" ht="30" customHeight="1">
      <c r="A12" s="9" t="inlineStr">
        <is>
          <t>1. Late delivery drives bad reviews: 6.8% of orders arrive after the promised date but produce 37% of all 1-star reviews. Average score 4.28 on time vs 2.26 late.</t>
        </is>
      </c>
    </row>
    <row r="13" ht="30" customHeight="1">
      <c r="A13" s="9" t="inlineStr">
        <is>
          <t>2. Customers grade the promise, not the speed: a 22-30 day delivery that met its date averages 3.95 stars; the same speed that missed it averages 2.57.</t>
        </is>
      </c>
    </row>
    <row r="14" ht="30" customHeight="1">
      <c r="A14" s="9" t="inlineStr">
        <is>
          <t>3. Lateness is concentrated: 12 routes produce 69% of late orders (SP→RJ alone 18%); it spikes in Nov 2017 (12%) and Feb–Mar 2018 (14–19%). In 72% of late orders the seller shipped on time — the carrier leg loses ~20 extra days.</t>
        </is>
      </c>
    </row>
    <row r="15" ht="30" customHeight="1">
      <c r="A15" s="9" t="inlineStr">
        <is>
          <t>4. Multi-item (21.7% 1-star) and multi-seller orders (36.1%) are a second, separate problem — consistent with split or partial deliveries.</t>
        </is>
      </c>
    </row>
    <row r="16" ht="30" customHeight="1">
      <c r="A16" s="9" t="inlineStr">
        <is>
          <t>5. Retention is structural: 3.0% of customers ever reorder. A late first order lowers that from 3.03% to 2.52% — real, but delivery is not the retention lever.</t>
        </is>
      </c>
    </row>
    <row r="18">
      <c r="A18" s="8" t="inlineStr">
        <is>
          <t>What-if: how much is worth fixing?</t>
        </is>
      </c>
      <c r="E18" s="2" t="inlineStr">
        <is>
          <t>Legend: yellow cells with blue text are the only inputs to change. Everything else is a formula.</t>
        </is>
      </c>
    </row>
    <row r="19">
      <c r="A19" s="8" t="inlineStr">
        <is>
          <t>Reference data (from the analysis)</t>
        </is>
      </c>
      <c r="E19" s="8" t="inlineStr">
        <is>
          <t>Inputs — change these</t>
        </is>
      </c>
    </row>
    <row r="20">
      <c r="A20" s="10" t="inlineStr">
        <is>
          <t>Annual delivered orders (20-month window annualised)</t>
        </is>
      </c>
      <c r="B20" s="11" t="n">
        <v>57722</v>
      </c>
      <c r="E20" s="10" t="inlineStr">
        <is>
          <t>Scenario A: target late share after the carrier fix</t>
        </is>
      </c>
      <c r="F20" s="12" t="n">
        <v>0.035</v>
      </c>
    </row>
    <row r="21">
      <c r="A21" s="10" t="inlineStr">
        <is>
          <t>Current late share</t>
        </is>
      </c>
      <c r="B21" s="13" t="n">
        <v>0.06788769580990198</v>
      </c>
      <c r="E21" s="10" t="inlineStr">
        <is>
          <t>Scenario B: promise buffer added (days, 1–14)</t>
        </is>
      </c>
      <c r="F21" s="14" t="n">
        <v>7</v>
      </c>
    </row>
    <row r="22">
      <c r="A22" s="10" t="inlineStr">
        <is>
          <t>1-star rate, late orders</t>
        </is>
      </c>
      <c r="B22" s="15" t="n">
        <v>0.5415709692237023</v>
      </c>
      <c r="E22" s="10" t="inlineStr">
        <is>
          <t>Scenario B: scope — 1 = 12 worst routes, 2 = those routes + Nov–Mar everywhere, 3 = all orders</t>
        </is>
      </c>
      <c r="F22" s="14" t="n">
        <v>1</v>
      </c>
    </row>
    <row r="23">
      <c r="A23" s="10" t="inlineStr">
        <is>
          <t>1-star rate, on-time orders</t>
        </is>
      </c>
      <c r="B23" s="15" t="n">
        <v>0.06825988045320724</v>
      </c>
    </row>
    <row r="24">
      <c r="A24" s="10" t="inlineStr">
        <is>
          <t>Avg review score, late orders</t>
        </is>
      </c>
      <c r="B24" s="16" t="n">
        <v>2.255397335783188</v>
      </c>
      <c r="E24" s="8" t="inlineStr">
        <is>
          <t>Scenario A — cut the late share (carrier SLA on the worst routes)</t>
        </is>
      </c>
    </row>
    <row r="25">
      <c r="A25" s="10" t="inlineStr">
        <is>
          <t>Avg review score, on-time orders</t>
        </is>
      </c>
      <c r="B25" s="16" t="n">
        <v>4.280343920064234</v>
      </c>
      <c r="E25" s="10" t="inlineStr">
        <is>
          <t>Orders per year moved from late to on time</t>
        </is>
      </c>
      <c r="F25" s="17">
        <f>$B$20*MAX(0,$B$21-$F$20)</f>
        <v/>
      </c>
    </row>
    <row r="26">
      <c r="A26" s="10" t="inlineStr">
        <is>
          <t>Repeat rate after a late first order</t>
        </is>
      </c>
      <c r="B26" s="13" t="n">
        <v>0.02518891687657431</v>
      </c>
      <c r="E26" s="10" t="inlineStr">
        <is>
          <t>1-star reviews avoided per year</t>
        </is>
      </c>
      <c r="F26" s="17">
        <f>F25*($B$22-$B$23)</f>
        <v/>
      </c>
    </row>
    <row r="27">
      <c r="A27" s="10" t="inlineStr">
        <is>
          <t>Repeat rate after an on-time first order</t>
        </is>
      </c>
      <c r="B27" s="13" t="n">
        <v>0.03030757170524763</v>
      </c>
      <c r="E27" s="10" t="inlineStr">
        <is>
          <t>Platform average review score: today</t>
        </is>
      </c>
      <c r="F27" s="18">
        <f>(1-$B$21)*$B$25+$B$21*$B$24</f>
        <v/>
      </c>
    </row>
    <row r="28">
      <c r="A28" s="10" t="inlineStr">
        <is>
          <t>Average order value (R$)</t>
        </is>
      </c>
      <c r="B28" s="16" t="n">
        <v>136.9996564556199</v>
      </c>
      <c r="E28" s="10" t="inlineStr">
        <is>
          <t>Platform average review score: after</t>
        </is>
      </c>
      <c r="F28" s="18">
        <f>(1-$F$20)*$B$25+$F$20*$B$24</f>
        <v/>
      </c>
    </row>
    <row r="29">
      <c r="A29" s="10" t="inlineStr">
        <is>
          <t>Revenue sitting in late orders, 20 months (R$)</t>
        </is>
      </c>
      <c r="B29" s="19" t="n">
        <v>985618.47</v>
      </c>
      <c r="E29" s="10" t="inlineStr">
        <is>
          <t>Extra repeat customers per year</t>
        </is>
      </c>
      <c r="F29" s="20">
        <f>F25*($B$27-$B$26)</f>
        <v/>
      </c>
    </row>
    <row r="30">
      <c r="E30" s="10" t="inlineStr">
        <is>
          <t>Revenue from those repeat orders (R$ / year)</t>
        </is>
      </c>
      <c r="F30" s="21">
        <f>F29*$B$28</f>
        <v/>
      </c>
    </row>
    <row r="32">
      <c r="E32" s="8" t="inlineStr">
        <is>
          <t>Scenario B — make the promise route-aware (zero logistics cost)</t>
        </is>
      </c>
    </row>
    <row r="33">
      <c r="E33" s="10" t="inlineStr">
        <is>
          <t>Share of today's late orders that would become on time</t>
        </is>
      </c>
      <c r="F33" s="22">
        <f>INDEX('Promise buffer'!$B$2:$D$15, MATCH($F$21, 'Promise buffer'!$A$2:$A$15, 0), $F$22)</f>
        <v/>
      </c>
    </row>
    <row r="34">
      <c r="E34" s="10" t="inlineStr">
        <is>
          <t>Late orders rescued per year</t>
        </is>
      </c>
      <c r="F34" s="17">
        <f>$B$20*$B$21*F33</f>
        <v/>
      </c>
    </row>
    <row r="35">
      <c r="E35" s="10" t="inlineStr">
        <is>
          <t>1-star reviews avoided per year</t>
        </is>
      </c>
      <c r="F35" s="17">
        <f>F34*($B$22-$B$23)</f>
        <v/>
      </c>
    </row>
    <row r="36">
      <c r="E36" s="10" t="inlineStr">
        <is>
          <t>Late share after the change</t>
        </is>
      </c>
      <c r="F36" s="23">
        <f>$B$21*(1-F33)</f>
        <v/>
      </c>
    </row>
    <row r="37">
      <c r="E37" s="10" t="inlineStr">
        <is>
          <t>Platform average review score: after</t>
        </is>
      </c>
      <c r="F37" s="18">
        <f>(1-F36)*$B$25+F36*$B$24</f>
        <v/>
      </c>
    </row>
    <row r="39" ht="64" customHeight="1">
      <c r="E39" s="24" t="inlineStr">
        <is>
          <t>Assumption for B: a late order that falls inside a longer promise behaves like an on-time order (supported by the 'Promise vs speed' sheet, but it is correlational — A/B test before rolling out, and watch conversion on the longer promise).</t>
        </is>
      </c>
    </row>
    <row r="41">
      <c r="A41" s="8" t="inlineStr">
        <is>
          <t>Recommendation (cheapest first)</t>
        </is>
      </c>
    </row>
    <row r="42">
      <c r="A42" s="9" t="inlineStr">
        <is>
          <t>1. Make the delivery promise route-aware: a 7-day buffer on the 12 worst routes rescues 40% of late orders (≈730 fewer 1-star reviews a year); with the Nov–Mar peak added, 49%; everywhere, 56%. Zero logistics cost — A/B test it against conversion.</t>
        </is>
      </c>
    </row>
    <row r="43">
      <c r="A43" s="9" t="inlineStr">
        <is>
          <t>2. Put a carrier SLA on deliveries to Rio de Janeiro and the nine Northeast states — 22% of orders but 40% of the late ones (12.4% late rate vs 4.5% in São Paulo).</t>
        </is>
      </c>
    </row>
    <row r="44">
      <c r="A44" s="9" t="inlineStr">
        <is>
          <t>3. Investigate split/partial deliveries on multi-item orders (1-star reviews 2.5× as often as single-item orders; 4.1× for multi-seller orders).</t>
        </is>
      </c>
    </row>
    <row r="45">
      <c r="A45" s="9" t="inlineStr">
        <is>
          <t>4. Stop treating delivery as a retention lever; measure it on review score and 1-star rate.</t>
        </is>
      </c>
    </row>
  </sheetData>
  <mergeCells count="10">
    <mergeCell ref="A13:G13"/>
    <mergeCell ref="A14:G14"/>
    <mergeCell ref="A44:G44"/>
    <mergeCell ref="A45:G45"/>
    <mergeCell ref="A12:G12"/>
    <mergeCell ref="A16:G16"/>
    <mergeCell ref="A15:G15"/>
    <mergeCell ref="A43:G43"/>
    <mergeCell ref="E39:F39"/>
    <mergeCell ref="A42:G4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20" customWidth="1" min="5" max="5"/>
    <col width="24" customWidth="1" min="6" max="6"/>
    <col width="20" customWidth="1" min="7" max="7"/>
  </cols>
  <sheetData>
    <row r="1">
      <c r="A1" s="25" t="inlineStr">
        <is>
          <t>Buffer days added</t>
        </is>
      </c>
      <c r="B1" s="25" t="inlineStr">
        <is>
          <t>Rescued: 12 worst routes only</t>
        </is>
      </c>
      <c r="C1" s="25" t="inlineStr">
        <is>
          <t>Rescued: routes + Nov–Mar</t>
        </is>
      </c>
      <c r="D1" s="25" t="inlineStr">
        <is>
          <t>Rescued: all orders</t>
        </is>
      </c>
      <c r="E1" s="25" t="inlineStr">
        <is>
          <t>1-star avoided / yr: 12 routes</t>
        </is>
      </c>
      <c r="F1" s="25" t="inlineStr">
        <is>
          <t>1-star avoided / yr: routes + Nov–Mar</t>
        </is>
      </c>
      <c r="G1" s="25" t="inlineStr">
        <is>
          <t>1-star avoided / yr: all orders</t>
        </is>
      </c>
    </row>
    <row r="2">
      <c r="A2" s="26" t="n">
        <v>1</v>
      </c>
      <c r="B2" s="27" t="n">
        <v>0.09156331342826521</v>
      </c>
      <c r="C2" s="27" t="n">
        <v>0.1111621497473588</v>
      </c>
      <c r="D2" s="27" t="n">
        <v>0.1261675088041647</v>
      </c>
      <c r="E2" s="28" t="n">
        <v>170</v>
      </c>
      <c r="F2" s="28" t="n">
        <v>206</v>
      </c>
      <c r="G2" s="28" t="n">
        <v>234</v>
      </c>
    </row>
    <row r="3">
      <c r="A3" s="26" t="n">
        <v>2</v>
      </c>
      <c r="B3" s="27" t="n">
        <v>0.1515847496554892</v>
      </c>
      <c r="C3" s="27" t="n">
        <v>0.1835859745827592</v>
      </c>
      <c r="D3" s="27" t="n">
        <v>0.2096156790690553</v>
      </c>
      <c r="E3" s="28" t="n">
        <v>281</v>
      </c>
      <c r="F3" s="28" t="n">
        <v>340</v>
      </c>
      <c r="G3" s="28" t="n">
        <v>389</v>
      </c>
    </row>
    <row r="4">
      <c r="A4" s="26" t="n">
        <v>3</v>
      </c>
      <c r="B4" s="27" t="n">
        <v>0.2039503904455673</v>
      </c>
      <c r="C4" s="27" t="n">
        <v>0.2480477721635278</v>
      </c>
      <c r="D4" s="27" t="n">
        <v>0.2861736334405145</v>
      </c>
      <c r="E4" s="28" t="n">
        <v>378</v>
      </c>
      <c r="F4" s="28" t="n">
        <v>460</v>
      </c>
      <c r="G4" s="28" t="n">
        <v>531</v>
      </c>
    </row>
    <row r="5">
      <c r="A5" s="26" t="n">
        <v>4</v>
      </c>
      <c r="B5" s="27" t="n">
        <v>0.2523350176083295</v>
      </c>
      <c r="C5" s="27" t="n">
        <v>0.3069973970295514</v>
      </c>
      <c r="D5" s="27" t="n">
        <v>0.3555351401010565</v>
      </c>
      <c r="E5" s="28" t="n">
        <v>468</v>
      </c>
      <c r="F5" s="28" t="n">
        <v>569</v>
      </c>
      <c r="G5" s="28" t="n">
        <v>659</v>
      </c>
    </row>
    <row r="6">
      <c r="A6" s="26" t="n">
        <v>5</v>
      </c>
      <c r="B6" s="27" t="n">
        <v>0.2984229061399479</v>
      </c>
      <c r="C6" s="27" t="n">
        <v>0.3670188332567754</v>
      </c>
      <c r="D6" s="27" t="n">
        <v>0.4239779513091411</v>
      </c>
      <c r="E6" s="28" t="n">
        <v>553</v>
      </c>
      <c r="F6" s="28" t="n">
        <v>681</v>
      </c>
      <c r="G6" s="28" t="n">
        <v>786</v>
      </c>
    </row>
    <row r="7">
      <c r="A7" s="26" t="n">
        <v>6</v>
      </c>
      <c r="B7" s="27" t="n">
        <v>0.3438983310365947</v>
      </c>
      <c r="C7" s="27" t="n">
        <v>0.4229061399479406</v>
      </c>
      <c r="D7" s="27" t="n">
        <v>0.4881335170724238</v>
      </c>
      <c r="E7" s="28" t="n">
        <v>638</v>
      </c>
      <c r="F7" s="28" t="n">
        <v>784</v>
      </c>
      <c r="G7" s="28" t="n">
        <v>905</v>
      </c>
    </row>
    <row r="8">
      <c r="A8" s="26" t="n">
        <v>7</v>
      </c>
      <c r="B8" s="27" t="n">
        <v>0.3950390445567295</v>
      </c>
      <c r="C8" s="27" t="n">
        <v>0.4862961261675088</v>
      </c>
      <c r="D8" s="27" t="n">
        <v>0.5620885009952534</v>
      </c>
      <c r="E8" s="28" t="n">
        <v>733</v>
      </c>
      <c r="F8" s="28" t="n">
        <v>902</v>
      </c>
      <c r="G8" s="28" t="n">
        <v>1043</v>
      </c>
    </row>
    <row r="9">
      <c r="A9" s="26" t="n">
        <v>8</v>
      </c>
      <c r="B9" s="27" t="n">
        <v>0.4304088194763436</v>
      </c>
      <c r="C9" s="27" t="n">
        <v>0.5316184351554126</v>
      </c>
      <c r="D9" s="27" t="n">
        <v>0.6135354463328739</v>
      </c>
      <c r="E9" s="28" t="n">
        <v>798</v>
      </c>
      <c r="F9" s="28" t="n">
        <v>986</v>
      </c>
      <c r="G9" s="28" t="n">
        <v>1138</v>
      </c>
    </row>
    <row r="10">
      <c r="A10" s="26" t="n">
        <v>9</v>
      </c>
      <c r="B10" s="27" t="n">
        <v>0.4533762057877814</v>
      </c>
      <c r="C10" s="27" t="n">
        <v>0.5619353850865105</v>
      </c>
      <c r="D10" s="27" t="n">
        <v>0.6482927576175165</v>
      </c>
      <c r="E10" s="28" t="n">
        <v>841</v>
      </c>
      <c r="F10" s="28" t="n">
        <v>1042</v>
      </c>
      <c r="G10" s="28" t="n">
        <v>1202</v>
      </c>
    </row>
    <row r="11">
      <c r="A11" s="26" t="n">
        <v>10</v>
      </c>
      <c r="B11" s="27" t="n">
        <v>0.4751186648292757</v>
      </c>
      <c r="C11" s="27" t="n">
        <v>0.5902618282039505</v>
      </c>
      <c r="D11" s="27" t="n">
        <v>0.6799877507273006</v>
      </c>
      <c r="E11" s="28" t="n">
        <v>881</v>
      </c>
      <c r="F11" s="28" t="n">
        <v>1095</v>
      </c>
      <c r="G11" s="28" t="n">
        <v>1261</v>
      </c>
    </row>
    <row r="12">
      <c r="A12" s="26" t="n">
        <v>11</v>
      </c>
      <c r="B12" s="27" t="n">
        <v>0.4931863420609401</v>
      </c>
      <c r="C12" s="27" t="n">
        <v>0.613382330424131</v>
      </c>
      <c r="D12" s="27" t="n">
        <v>0.7077017302097688</v>
      </c>
      <c r="E12" s="28" t="n">
        <v>915</v>
      </c>
      <c r="F12" s="28" t="n">
        <v>1138</v>
      </c>
      <c r="G12" s="28" t="n">
        <v>1312</v>
      </c>
    </row>
    <row r="13">
      <c r="A13" s="26" t="n">
        <v>12</v>
      </c>
      <c r="B13" s="27" t="n">
        <v>0.5092635124789466</v>
      </c>
      <c r="C13" s="27" t="n">
        <v>0.6354310212831114</v>
      </c>
      <c r="D13" s="27" t="n">
        <v>0.7322002756086357</v>
      </c>
      <c r="E13" s="28" t="n">
        <v>945</v>
      </c>
      <c r="F13" s="28" t="n">
        <v>1179</v>
      </c>
      <c r="G13" s="28" t="n">
        <v>1358</v>
      </c>
    </row>
    <row r="14">
      <c r="A14" s="26" t="n">
        <v>13</v>
      </c>
      <c r="B14" s="27" t="n">
        <v>0.5297810442504975</v>
      </c>
      <c r="C14" s="27" t="n">
        <v>0.6614607257694074</v>
      </c>
      <c r="D14" s="27" t="n">
        <v>0.7622109937222477</v>
      </c>
      <c r="E14" s="28" t="n">
        <v>983</v>
      </c>
      <c r="F14" s="28" t="n">
        <v>1227</v>
      </c>
      <c r="G14" s="28" t="n">
        <v>1414</v>
      </c>
    </row>
    <row r="15">
      <c r="A15" s="26" t="n">
        <v>14</v>
      </c>
      <c r="B15" s="27" t="n">
        <v>0.5484611851171336</v>
      </c>
      <c r="C15" s="27" t="n">
        <v>0.6859592711682744</v>
      </c>
      <c r="D15" s="27" t="n">
        <v>0.7883938141172868</v>
      </c>
      <c r="E15" s="28" t="n">
        <v>1017</v>
      </c>
      <c r="F15" s="28" t="n">
        <v>1272</v>
      </c>
      <c r="G15" s="28" t="n">
        <v>1462</v>
      </c>
    </row>
    <row r="17" ht="40" customHeight="1">
      <c r="A17" s="2" t="inlineStr">
        <is>
          <t>Rescued = share of ALL 6,531 late orders whose delay was ≤ the buffer AND that fall inside the scope (the 12 worst seller→customer routes; those routes plus every order bought Nov–Mar; or every order). Yearly counts use the annualised volume on the Summary sheet.</t>
        </is>
      </c>
    </row>
  </sheetData>
  <mergeCells count="1"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</cols>
  <sheetData>
    <row r="1">
      <c r="A1" s="25" t="inlineStr">
        <is>
          <t>Delivery vs promise</t>
        </is>
      </c>
      <c r="B1" s="25" t="inlineStr">
        <is>
          <t>Orders</t>
        </is>
      </c>
      <c r="C1" s="25" t="inlineStr">
        <is>
          <t>% of orders</t>
        </is>
      </c>
      <c r="D1" s="25" t="inlineStr">
        <is>
          <t>Avg review score</t>
        </is>
      </c>
      <c r="E1" s="25" t="inlineStr">
        <is>
          <t>% 1-star</t>
        </is>
      </c>
      <c r="F1" s="25" t="inlineStr">
        <is>
          <t>% 4-5 star</t>
        </is>
      </c>
      <c r="G1" s="25" t="inlineStr">
        <is>
          <t>Revenue (R$)</t>
        </is>
      </c>
    </row>
    <row r="2">
      <c r="A2" s="29" t="inlineStr">
        <is>
          <t>8+ days early</t>
        </is>
      </c>
      <c r="B2" s="28" t="n">
        <v>71046</v>
      </c>
      <c r="C2" s="27" t="n">
        <v>0.7385008783509869</v>
      </c>
      <c r="D2" s="30" t="n">
        <v>4.307265715170453</v>
      </c>
      <c r="E2" s="27" t="n">
        <v>0.06680179038932522</v>
      </c>
      <c r="F2" s="27" t="n">
        <v>0.8320806238211863</v>
      </c>
      <c r="G2" s="31" t="n">
        <v>9793805.380000001</v>
      </c>
    </row>
    <row r="3">
      <c r="A3" s="29" t="inlineStr">
        <is>
          <t>on time (0-7 days early)</t>
        </is>
      </c>
      <c r="B3" s="28" t="n">
        <v>18626</v>
      </c>
      <c r="C3" s="27" t="n">
        <v>0.193611425839111</v>
      </c>
      <c r="D3" s="30" t="n">
        <v>4.177654891012563</v>
      </c>
      <c r="E3" s="27" t="n">
        <v>0.0738215397830989</v>
      </c>
      <c r="F3" s="27" t="n">
        <v>0.791152152904542</v>
      </c>
      <c r="G3" s="31" t="n">
        <v>2400354.1</v>
      </c>
    </row>
    <row r="4">
      <c r="A4" s="29" t="inlineStr">
        <is>
          <t>1-3 days late</t>
        </is>
      </c>
      <c r="B4" s="28" t="n">
        <v>1869</v>
      </c>
      <c r="C4" s="27" t="n">
        <v>0.01942766857582404</v>
      </c>
      <c r="D4" s="30" t="n">
        <v>3.28143392188336</v>
      </c>
      <c r="E4" s="27" t="n">
        <v>0.2536115569823435</v>
      </c>
      <c r="F4" s="27" t="n">
        <v>0.5286249331193152</v>
      </c>
      <c r="G4" s="31" t="n">
        <v>250756.73</v>
      </c>
    </row>
    <row r="5">
      <c r="A5" s="29" t="inlineStr">
        <is>
          <t>4-7 days late</t>
        </is>
      </c>
      <c r="B5" s="28" t="n">
        <v>1802</v>
      </c>
      <c r="C5" s="27" t="n">
        <v>0.01873122459798551</v>
      </c>
      <c r="D5" s="30" t="n">
        <v>2.086570477247503</v>
      </c>
      <c r="E5" s="27" t="n">
        <v>0.5910099889012209</v>
      </c>
      <c r="F5" s="27" t="n">
        <v>0.2214206437291898</v>
      </c>
      <c r="G5" s="31" t="n">
        <v>287685.63</v>
      </c>
    </row>
    <row r="6">
      <c r="A6" s="29" t="inlineStr">
        <is>
          <t>8-14 days late</t>
        </is>
      </c>
      <c r="B6" s="28" t="n">
        <v>1478</v>
      </c>
      <c r="C6" s="27" t="n">
        <v>0.01536334625739322</v>
      </c>
      <c r="D6" s="30" t="n">
        <v>1.665764546684709</v>
      </c>
      <c r="E6" s="27" t="n">
        <v>0.706359945872801</v>
      </c>
      <c r="F6" s="27" t="n">
        <v>0.108254397834912</v>
      </c>
      <c r="G6" s="31" t="n">
        <v>229872.6</v>
      </c>
    </row>
    <row r="7">
      <c r="A7" s="29" t="inlineStr">
        <is>
          <t>15+ days late</t>
        </is>
      </c>
      <c r="B7" s="28" t="n">
        <v>1382</v>
      </c>
      <c r="C7" s="27" t="n">
        <v>0.01436545637869921</v>
      </c>
      <c r="D7" s="30" t="n">
        <v>1.718523878437048</v>
      </c>
      <c r="E7" s="27" t="n">
        <v>0.6903039073806078</v>
      </c>
      <c r="F7" s="27" t="n">
        <v>0.1230101302460202</v>
      </c>
      <c r="G7" s="31" t="n">
        <v>217303.51</v>
      </c>
    </row>
  </sheetData>
  <conditionalFormatting sqref="E2:E7">
    <cfRule type="colorScale" priority="1">
      <colorScale>
        <cfvo type="min"/>
        <cfvo type="max"/>
        <color rgb="00FFFFFF"/>
        <color rgb="00E34948"/>
      </colorScale>
    </cfRule>
  </conditionalFormatting>
  <conditionalFormatting sqref="D2:D7">
    <cfRule type="colorScale" priority="2">
      <colorScale>
        <cfvo type="min"/>
        <cfvo type="max"/>
        <color rgb="00FFFFFF"/>
        <color rgb="002A78D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2" customWidth="1" min="5" max="5"/>
    <col width="10" customWidth="1" min="6" max="6"/>
  </cols>
  <sheetData>
    <row r="1">
      <c r="A1" s="25" t="inlineStr">
        <is>
          <t>Actual delivery time</t>
        </is>
      </c>
      <c r="B1" s="25" t="inlineStr">
        <is>
          <t>Orders: met promise</t>
        </is>
      </c>
      <c r="C1" s="25" t="inlineStr">
        <is>
          <t>Orders: missed promise</t>
        </is>
      </c>
      <c r="D1" s="25" t="inlineStr">
        <is>
          <t>Avg score: met promise</t>
        </is>
      </c>
      <c r="E1" s="25" t="inlineStr">
        <is>
          <t>Avg score: missed promise</t>
        </is>
      </c>
      <c r="F1" s="25" t="inlineStr">
        <is>
          <t>Gap</t>
        </is>
      </c>
    </row>
    <row r="2">
      <c r="A2" s="29" t="inlineStr">
        <is>
          <t>&lt;= 7 days</t>
        </is>
      </c>
      <c r="B2" s="28" t="n">
        <v>26030</v>
      </c>
      <c r="C2" s="28" t="n">
        <v>62</v>
      </c>
      <c r="D2" s="30" t="n">
        <v>4.4102573953131</v>
      </c>
      <c r="E2" s="30" t="n">
        <v>3.919354838709677</v>
      </c>
      <c r="F2" s="30" t="n">
        <v>0.4909025566034226</v>
      </c>
    </row>
    <row r="3">
      <c r="A3" s="29" t="inlineStr">
        <is>
          <t>8-14 days</t>
        </is>
      </c>
      <c r="B3" s="28" t="n">
        <v>39771</v>
      </c>
      <c r="C3" s="28" t="n">
        <v>316</v>
      </c>
      <c r="D3" s="30" t="n">
        <v>4.308792839003294</v>
      </c>
      <c r="E3" s="30" t="n">
        <v>3.34493670886076</v>
      </c>
      <c r="F3" s="30" t="n">
        <v>0.9638561301425344</v>
      </c>
    </row>
    <row r="4">
      <c r="A4" s="29" t="inlineStr">
        <is>
          <t>15-21 days</t>
        </is>
      </c>
      <c r="B4" s="28" t="n">
        <v>17102</v>
      </c>
      <c r="C4" s="28" t="n">
        <v>535</v>
      </c>
      <c r="D4" s="30" t="n">
        <v>4.163548123026547</v>
      </c>
      <c r="E4" s="30" t="n">
        <v>2.889719626168224</v>
      </c>
      <c r="F4" s="30" t="n">
        <v>1.273828496858322</v>
      </c>
    </row>
    <row r="5">
      <c r="A5" s="29" t="inlineStr">
        <is>
          <t>22-30 days</t>
        </is>
      </c>
      <c r="B5" s="28" t="n">
        <v>5847</v>
      </c>
      <c r="C5" s="28" t="n">
        <v>2040</v>
      </c>
      <c r="D5" s="30" t="n">
        <v>3.948007525226612</v>
      </c>
      <c r="E5" s="30" t="n">
        <v>2.573529411764706</v>
      </c>
      <c r="F5" s="30" t="n">
        <v>1.374478113461906</v>
      </c>
    </row>
    <row r="6">
      <c r="A6" s="29" t="inlineStr">
        <is>
          <t>31-60 days</t>
        </is>
      </c>
      <c r="B6" s="28" t="n">
        <v>920</v>
      </c>
      <c r="C6" s="28" t="n">
        <v>3277</v>
      </c>
      <c r="D6" s="30" t="n">
        <v>3.660869565217392</v>
      </c>
      <c r="E6" s="30" t="n">
        <v>1.832773878547452</v>
      </c>
      <c r="F6" s="30" t="n">
        <v>1.82809568666994</v>
      </c>
    </row>
    <row r="7">
      <c r="A7" s="29" t="inlineStr">
        <is>
          <t>60+ days</t>
        </is>
      </c>
      <c r="B7" s="28" t="n">
        <v>2</v>
      </c>
      <c r="C7" s="28" t="n">
        <v>301</v>
      </c>
      <c r="D7" s="30" t="n">
        <v>3</v>
      </c>
      <c r="E7" s="30" t="n">
        <v>2.086378737541528</v>
      </c>
      <c r="F7" s="30" t="n">
        <v>0.913621262458472</v>
      </c>
    </row>
    <row r="9">
      <c r="A9" s="2" t="inlineStr">
        <is>
          <t>Read across a row: same delivery speed, very different scores depending on whether the promised date was met. The 60+ days row has only 2 on-time orders.</t>
        </is>
      </c>
    </row>
  </sheetData>
  <mergeCells count="1"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0" customWidth="1" min="6" max="6"/>
    <col width="16" customWidth="1" min="7" max="7"/>
  </cols>
  <sheetData>
    <row r="1">
      <c r="A1" s="25" t="inlineStr">
        <is>
          <t>Month</t>
        </is>
      </c>
      <c r="B1" s="25" t="inlineStr">
        <is>
          <t>Orders</t>
        </is>
      </c>
      <c r="C1" s="25" t="inlineStr">
        <is>
          <t>Revenue (R$)</t>
        </is>
      </c>
      <c r="D1" s="25" t="inlineStr">
        <is>
          <t>% late</t>
        </is>
      </c>
      <c r="E1" s="25" t="inlineStr">
        <is>
          <t>Avg review score</t>
        </is>
      </c>
      <c r="F1" s="25" t="inlineStr">
        <is>
          <t>% 1-star</t>
        </is>
      </c>
      <c r="G1" s="25" t="inlineStr">
        <is>
          <t>Avg delivery days</t>
        </is>
      </c>
    </row>
    <row r="2">
      <c r="A2" s="29" t="inlineStr">
        <is>
          <t>2017-01</t>
        </is>
      </c>
      <c r="B2" s="28" t="n">
        <v>750</v>
      </c>
      <c r="C2" s="31" t="n">
        <v>111798.36</v>
      </c>
      <c r="D2" s="27" t="n">
        <v>0.02933333333333333</v>
      </c>
      <c r="E2" s="30" t="n">
        <v>4.184</v>
      </c>
      <c r="F2" s="27" t="n">
        <v>0.09466666666666669</v>
      </c>
      <c r="G2" s="32" t="n">
        <v>12.647</v>
      </c>
    </row>
    <row r="3">
      <c r="A3" s="29" t="inlineStr">
        <is>
          <t>2017-02</t>
        </is>
      </c>
      <c r="B3" s="28" t="n">
        <v>1653</v>
      </c>
      <c r="C3" s="31" t="n">
        <v>234223.4</v>
      </c>
      <c r="D3" s="27" t="n">
        <v>0.02964307320024199</v>
      </c>
      <c r="E3" s="30" t="n">
        <v>4.190562613430127</v>
      </c>
      <c r="F3" s="27" t="n">
        <v>0.07985480943738657</v>
      </c>
      <c r="G3" s="32" t="n">
        <v>13.16877797943134</v>
      </c>
    </row>
    <row r="4">
      <c r="A4" s="29" t="inlineStr">
        <is>
          <t>2017-03</t>
        </is>
      </c>
      <c r="B4" s="28" t="n">
        <v>2546</v>
      </c>
      <c r="C4" s="31" t="n">
        <v>359198.85</v>
      </c>
      <c r="D4" s="27" t="n">
        <v>0.04556166535742341</v>
      </c>
      <c r="E4" s="30" t="n">
        <v>4.170856245090338</v>
      </c>
      <c r="F4" s="27" t="n">
        <v>0.08837391987431265</v>
      </c>
      <c r="G4" s="32" t="n">
        <v>12.9512293794187</v>
      </c>
    </row>
    <row r="5">
      <c r="A5" s="29" t="inlineStr">
        <is>
          <t>2017-04</t>
        </is>
      </c>
      <c r="B5" s="28" t="n">
        <v>2303</v>
      </c>
      <c r="C5" s="31" t="n">
        <v>340669.68</v>
      </c>
      <c r="D5" s="27" t="n">
        <v>0.06556665219279201</v>
      </c>
      <c r="E5" s="30" t="n">
        <v>4.12679114198871</v>
      </c>
      <c r="F5" s="27" t="n">
        <v>0.09248805905340859</v>
      </c>
      <c r="G5" s="32" t="n">
        <v>14.91779418150239</v>
      </c>
    </row>
    <row r="6">
      <c r="A6" s="29" t="inlineStr">
        <is>
          <t>2017-05</t>
        </is>
      </c>
      <c r="B6" s="28" t="n">
        <v>3545</v>
      </c>
      <c r="C6" s="31" t="n">
        <v>489159.25</v>
      </c>
      <c r="D6" s="27" t="n">
        <v>0.02990126939351199</v>
      </c>
      <c r="E6" s="30" t="n">
        <v>4.221156558533146</v>
      </c>
      <c r="F6" s="27" t="n">
        <v>0.07785613540197461</v>
      </c>
      <c r="G6" s="32" t="n">
        <v>11.32233286318759</v>
      </c>
    </row>
    <row r="7">
      <c r="A7" s="29" t="inlineStr">
        <is>
          <t>2017-06</t>
        </is>
      </c>
      <c r="B7" s="28" t="n">
        <v>3135</v>
      </c>
      <c r="C7" s="31" t="n">
        <v>421923.37</v>
      </c>
      <c r="D7" s="27" t="n">
        <v>0.0303030303030303</v>
      </c>
      <c r="E7" s="30" t="n">
        <v>4.206379585326954</v>
      </c>
      <c r="F7" s="27" t="n">
        <v>0.08293460925039872</v>
      </c>
      <c r="G7" s="32" t="n">
        <v>12.01161722488038</v>
      </c>
    </row>
    <row r="8">
      <c r="A8" s="29" t="inlineStr">
        <is>
          <t>2017-07</t>
        </is>
      </c>
      <c r="B8" s="28" t="n">
        <v>3872</v>
      </c>
      <c r="C8" s="31" t="n">
        <v>481604.52</v>
      </c>
      <c r="D8" s="27" t="n">
        <v>0.02789256198347108</v>
      </c>
      <c r="E8" s="30" t="n">
        <v>4.247675619834711</v>
      </c>
      <c r="F8" s="27" t="n">
        <v>0.07076446280991737</v>
      </c>
      <c r="G8" s="32" t="n">
        <v>11.59276859504132</v>
      </c>
    </row>
    <row r="9">
      <c r="A9" s="29" t="inlineStr">
        <is>
          <t>2017-08</t>
        </is>
      </c>
      <c r="B9" s="28" t="n">
        <v>4193</v>
      </c>
      <c r="C9" s="31" t="n">
        <v>554699.7</v>
      </c>
      <c r="D9" s="27" t="n">
        <v>0.02909611256856666</v>
      </c>
      <c r="E9" s="30" t="n">
        <v>4.301216312902456</v>
      </c>
      <c r="F9" s="27" t="n">
        <v>0.06749344145003577</v>
      </c>
      <c r="G9" s="32" t="n">
        <v>11.14718101597901</v>
      </c>
    </row>
    <row r="10">
      <c r="A10" s="29" t="inlineStr">
        <is>
          <t>2017-09</t>
        </is>
      </c>
      <c r="B10" s="28" t="n">
        <v>4150</v>
      </c>
      <c r="C10" s="31" t="n">
        <v>607399.67</v>
      </c>
      <c r="D10" s="27" t="n">
        <v>0.04385542168674699</v>
      </c>
      <c r="E10" s="30" t="n">
        <v>4.252530120481928</v>
      </c>
      <c r="F10" s="27" t="n">
        <v>0.07542168674698795</v>
      </c>
      <c r="G10" s="32" t="n">
        <v>11.85104578313253</v>
      </c>
    </row>
    <row r="11">
      <c r="A11" s="29" t="inlineStr">
        <is>
          <t>2017-10</t>
        </is>
      </c>
      <c r="B11" s="28" t="n">
        <v>4478</v>
      </c>
      <c r="C11" s="31" t="n">
        <v>648247.65</v>
      </c>
      <c r="D11" s="27" t="n">
        <v>0.04175971415810629</v>
      </c>
      <c r="E11" s="30" t="n">
        <v>4.189593568557392</v>
      </c>
      <c r="F11" s="27" t="n">
        <v>0.08865564984368021</v>
      </c>
      <c r="G11" s="32" t="n">
        <v>11.85667262170612</v>
      </c>
    </row>
    <row r="12">
      <c r="A12" s="29" t="inlineStr">
        <is>
          <t>2017-11</t>
        </is>
      </c>
      <c r="B12" s="28" t="n">
        <v>7288</v>
      </c>
      <c r="C12" s="31" t="n">
        <v>987648.0699999999</v>
      </c>
      <c r="D12" s="27" t="n">
        <v>0.12403951701427</v>
      </c>
      <c r="E12" s="30" t="n">
        <v>3.975027442371021</v>
      </c>
      <c r="F12" s="27" t="n">
        <v>0.1343304061470911</v>
      </c>
      <c r="G12" s="32" t="n">
        <v>15.16111141602634</v>
      </c>
    </row>
    <row r="13">
      <c r="A13" s="29" t="inlineStr">
        <is>
          <t>2017-12</t>
        </is>
      </c>
      <c r="B13" s="28" t="n">
        <v>5513</v>
      </c>
      <c r="C13" s="31" t="n">
        <v>726033.1900000001</v>
      </c>
      <c r="D13" s="27" t="n">
        <v>0.07455106112824234</v>
      </c>
      <c r="E13" s="30" t="n">
        <v>4.069290767277344</v>
      </c>
      <c r="F13" s="27" t="n">
        <v>0.1122800653001995</v>
      </c>
      <c r="G13" s="32" t="n">
        <v>15.39487212044259</v>
      </c>
    </row>
    <row r="14">
      <c r="A14" s="29" t="inlineStr">
        <is>
          <t>2018-01</t>
        </is>
      </c>
      <c r="B14" s="28" t="n">
        <v>7069</v>
      </c>
      <c r="C14" s="31" t="n">
        <v>924645</v>
      </c>
      <c r="D14" s="27" t="n">
        <v>0.05700947800254633</v>
      </c>
      <c r="E14" s="30" t="n">
        <v>4.092941010043853</v>
      </c>
      <c r="F14" s="27" t="n">
        <v>0.1069458197764889</v>
      </c>
      <c r="G14" s="32" t="n">
        <v>14.08051068043571</v>
      </c>
    </row>
    <row r="15">
      <c r="A15" s="29" t="inlineStr">
        <is>
          <t>2018-02</t>
        </is>
      </c>
      <c r="B15" s="28" t="n">
        <v>6555</v>
      </c>
      <c r="C15" s="31" t="n">
        <v>826437.13</v>
      </c>
      <c r="D15" s="27" t="n">
        <v>0.1412662090007628</v>
      </c>
      <c r="E15" s="30" t="n">
        <v>3.864530892448513</v>
      </c>
      <c r="F15" s="27" t="n">
        <v>0.1603356216628528</v>
      </c>
      <c r="G15" s="32" t="n">
        <v>16.94511823035851</v>
      </c>
    </row>
    <row r="16">
      <c r="A16" s="29" t="inlineStr">
        <is>
          <t>2018-03</t>
        </is>
      </c>
      <c r="B16" s="28" t="n">
        <v>7003</v>
      </c>
      <c r="C16" s="31" t="n">
        <v>953356.25</v>
      </c>
      <c r="D16" s="27" t="n">
        <v>0.1896330144223904</v>
      </c>
      <c r="E16" s="30" t="n">
        <v>3.795373411395116</v>
      </c>
      <c r="F16" s="27" t="n">
        <v>0.1790661145223476</v>
      </c>
      <c r="G16" s="32" t="n">
        <v>16.30138226474368</v>
      </c>
    </row>
    <row r="17">
      <c r="A17" s="29" t="inlineStr">
        <is>
          <t>2018-04</t>
        </is>
      </c>
      <c r="B17" s="28" t="n">
        <v>6798</v>
      </c>
      <c r="C17" s="31" t="n">
        <v>973534.09</v>
      </c>
      <c r="D17" s="27" t="n">
        <v>0.04501323918799647</v>
      </c>
      <c r="E17" s="30" t="n">
        <v>4.192556634304207</v>
      </c>
      <c r="F17" s="27" t="n">
        <v>0.09002647837599294</v>
      </c>
      <c r="G17" s="32" t="n">
        <v>11.49918064136511</v>
      </c>
    </row>
    <row r="18">
      <c r="A18" s="29" t="inlineStr">
        <is>
          <t>2018-05</t>
        </is>
      </c>
      <c r="B18" s="28" t="n">
        <v>6749</v>
      </c>
      <c r="C18" s="31" t="n">
        <v>977544.6899999999</v>
      </c>
      <c r="D18" s="27" t="n">
        <v>0.06563935397836716</v>
      </c>
      <c r="E18" s="30" t="n">
        <v>4.228478293080457</v>
      </c>
      <c r="F18" s="27" t="n">
        <v>0.08519780708253075</v>
      </c>
      <c r="G18" s="32" t="n">
        <v>11.41900577863387</v>
      </c>
    </row>
    <row r="19">
      <c r="A19" s="29" t="inlineStr">
        <is>
          <t>2018-06</t>
        </is>
      </c>
      <c r="B19" s="28" t="n">
        <v>6096</v>
      </c>
      <c r="C19" s="31" t="n">
        <v>855591.97</v>
      </c>
      <c r="D19" s="27" t="n">
        <v>0.01164698162729659</v>
      </c>
      <c r="E19" s="30" t="n">
        <v>4.300360892388452</v>
      </c>
      <c r="F19" s="27" t="n">
        <v>0.07283464566929133</v>
      </c>
      <c r="G19" s="32" t="n">
        <v>9.239258530183726</v>
      </c>
    </row>
    <row r="20">
      <c r="A20" s="29" t="inlineStr">
        <is>
          <t>2018-07</t>
        </is>
      </c>
      <c r="B20" s="28" t="n">
        <v>6156</v>
      </c>
      <c r="C20" s="31" t="n">
        <v>867486.47</v>
      </c>
      <c r="D20" s="27" t="n">
        <v>0.03378817413905133</v>
      </c>
      <c r="E20" s="30" t="n">
        <v>4.303443794671865</v>
      </c>
      <c r="F20" s="27" t="n">
        <v>0.07602339181286549</v>
      </c>
      <c r="G20" s="32" t="n">
        <v>8.958624106562704</v>
      </c>
    </row>
    <row r="21">
      <c r="A21" s="29" t="inlineStr">
        <is>
          <t>2018-08</t>
        </is>
      </c>
      <c r="B21" s="28" t="n">
        <v>6351</v>
      </c>
      <c r="C21" s="31" t="n">
        <v>838576.64</v>
      </c>
      <c r="D21" s="27" t="n">
        <v>0.06188001889466226</v>
      </c>
      <c r="E21" s="30" t="n">
        <v>4.303731695795937</v>
      </c>
      <c r="F21" s="27" t="n">
        <v>0.07179971658006613</v>
      </c>
      <c r="G21" s="32" t="n">
        <v>7.73274602424815</v>
      </c>
    </row>
  </sheetData>
  <conditionalFormatting sqref="D2:D21">
    <cfRule type="dataBar" priority="1">
      <dataBar>
        <cfvo type="num" val="0"/>
        <cfvo type="max"/>
        <color rgb="00E3494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0" customWidth="1" min="4" max="4"/>
    <col width="15" customWidth="1" min="5" max="5"/>
    <col width="9" customWidth="1" min="6" max="6"/>
    <col width="11" customWidth="1" min="7" max="7"/>
    <col width="14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25" t="inlineStr">
        <is>
          <t>State</t>
        </is>
      </c>
      <c r="B1" s="25" t="inlineStr">
        <is>
          <t>State name</t>
        </is>
      </c>
      <c r="C1" s="25" t="inlineStr">
        <is>
          <t>Region</t>
        </is>
      </c>
      <c r="D1" s="25" t="inlineStr">
        <is>
          <t>Orders</t>
        </is>
      </c>
      <c r="E1" s="25" t="inlineStr">
        <is>
          <t>Revenue (R$)</t>
        </is>
      </c>
      <c r="F1" s="25" t="inlineStr">
        <is>
          <t>% late</t>
        </is>
      </c>
      <c r="G1" s="25" t="inlineStr">
        <is>
          <t>Late orders</t>
        </is>
      </c>
      <c r="H1" s="25" t="inlineStr">
        <is>
          <t>Share of all late orders</t>
        </is>
      </c>
      <c r="I1" s="25" t="inlineStr">
        <is>
          <t>Avg delivery days</t>
        </is>
      </c>
      <c r="J1" s="25" t="inlineStr">
        <is>
          <t>Avg promised days</t>
        </is>
      </c>
      <c r="K1" s="25" t="inlineStr">
        <is>
          <t>Avg review score</t>
        </is>
      </c>
      <c r="L1" s="25" t="inlineStr">
        <is>
          <t>% 1-star</t>
        </is>
      </c>
    </row>
    <row r="2">
      <c r="A2" s="29" t="inlineStr">
        <is>
          <t>AL</t>
        </is>
      </c>
      <c r="B2" s="29" t="inlineStr">
        <is>
          <t>Alagoas</t>
        </is>
      </c>
      <c r="C2" s="29" t="inlineStr">
        <is>
          <t>Northeast</t>
        </is>
      </c>
      <c r="D2" s="28" t="n">
        <v>396</v>
      </c>
      <c r="E2" s="31" t="n">
        <v>78805.73</v>
      </c>
      <c r="F2" s="27" t="n">
        <v>0.2146464646464646</v>
      </c>
      <c r="G2" s="28" t="n">
        <v>85</v>
      </c>
      <c r="H2" s="27" t="n">
        <v>0.01301485224314806</v>
      </c>
      <c r="I2" s="32" t="n">
        <v>24.5225</v>
      </c>
      <c r="J2" s="32" t="n">
        <v>32.49</v>
      </c>
      <c r="K2" s="30" t="n">
        <v>3.825757575757576</v>
      </c>
      <c r="L2" s="27" t="n">
        <v>0.1590909090909091</v>
      </c>
    </row>
    <row r="3">
      <c r="A3" s="29" t="inlineStr">
        <is>
          <t>MA</t>
        </is>
      </c>
      <c r="B3" s="29" t="inlineStr">
        <is>
          <t>Maranhão</t>
        </is>
      </c>
      <c r="C3" s="29" t="inlineStr">
        <is>
          <t>Northeast</t>
        </is>
      </c>
      <c r="D3" s="28" t="n">
        <v>713</v>
      </c>
      <c r="E3" s="31" t="n">
        <v>116305.12</v>
      </c>
      <c r="F3" s="27" t="n">
        <v>0.1753155680224404</v>
      </c>
      <c r="G3" s="28" t="n">
        <v>125</v>
      </c>
      <c r="H3" s="27" t="n">
        <v>0.0191394885928648</v>
      </c>
      <c r="I3" s="32" t="n">
        <v>21.53572230014025</v>
      </c>
      <c r="J3" s="32" t="n">
        <v>30.26732117812061</v>
      </c>
      <c r="K3" s="30" t="n">
        <v>3.813464235624124</v>
      </c>
      <c r="L3" s="27" t="n">
        <v>0.1626928471248247</v>
      </c>
    </row>
    <row r="4">
      <c r="A4" s="29" t="inlineStr">
        <is>
          <t>SE</t>
        </is>
      </c>
      <c r="B4" s="29" t="inlineStr">
        <is>
          <t>Sergipe</t>
        </is>
      </c>
      <c r="C4" s="29" t="inlineStr">
        <is>
          <t>Northeast</t>
        </is>
      </c>
      <c r="D4" s="28" t="n">
        <v>332</v>
      </c>
      <c r="E4" s="31" t="n">
        <v>56288.74</v>
      </c>
      <c r="F4" s="27" t="n">
        <v>0.1536144578313253</v>
      </c>
      <c r="G4" s="28" t="n">
        <v>51</v>
      </c>
      <c r="H4" s="27" t="n">
        <v>0.007808911345888838</v>
      </c>
      <c r="I4" s="32" t="n">
        <v>21.43852409638554</v>
      </c>
      <c r="J4" s="32" t="n">
        <v>30.60075301204819</v>
      </c>
      <c r="K4" s="30" t="n">
        <v>3.891566265060241</v>
      </c>
      <c r="L4" s="27" t="n">
        <v>0.1566265060240964</v>
      </c>
    </row>
    <row r="5">
      <c r="A5" s="29" t="inlineStr">
        <is>
          <t>PI</t>
        </is>
      </c>
      <c r="B5" s="29" t="inlineStr">
        <is>
          <t>Piauí</t>
        </is>
      </c>
      <c r="C5" s="29" t="inlineStr">
        <is>
          <t>Northeast</t>
        </is>
      </c>
      <c r="D5" s="28" t="n">
        <v>475</v>
      </c>
      <c r="E5" s="31" t="n">
        <v>84511</v>
      </c>
      <c r="F5" s="27" t="n">
        <v>0.1389473684210526</v>
      </c>
      <c r="G5" s="28" t="n">
        <v>66</v>
      </c>
      <c r="H5" s="27" t="n">
        <v>0.01010564997703261</v>
      </c>
      <c r="I5" s="32" t="n">
        <v>19.44084210526316</v>
      </c>
      <c r="J5" s="32" t="n">
        <v>30.00991578947368</v>
      </c>
      <c r="K5" s="30" t="n">
        <v>3.978947368421053</v>
      </c>
      <c r="L5" s="27" t="n">
        <v>0.1305263157894737</v>
      </c>
    </row>
    <row r="6">
      <c r="A6" s="29" t="inlineStr">
        <is>
          <t>CE</t>
        </is>
      </c>
      <c r="B6" s="29" t="inlineStr">
        <is>
          <t>Ceará</t>
        </is>
      </c>
      <c r="C6" s="29" t="inlineStr">
        <is>
          <t>Northeast</t>
        </is>
      </c>
      <c r="D6" s="28" t="n">
        <v>1273</v>
      </c>
      <c r="E6" s="31" t="n">
        <v>218107.7</v>
      </c>
      <c r="F6" s="27" t="n">
        <v>0.1382560879811469</v>
      </c>
      <c r="G6" s="28" t="n">
        <v>176</v>
      </c>
      <c r="H6" s="27" t="n">
        <v>0.02694839993875364</v>
      </c>
      <c r="I6" s="32" t="n">
        <v>21.2384603299293</v>
      </c>
      <c r="J6" s="32" t="n">
        <v>31.17341712490181</v>
      </c>
      <c r="K6" s="30" t="n">
        <v>3.933228593872741</v>
      </c>
      <c r="L6" s="27" t="n">
        <v>0.1374705420267086</v>
      </c>
    </row>
    <row r="7">
      <c r="A7" s="29" t="inlineStr">
        <is>
          <t>RR</t>
        </is>
      </c>
      <c r="B7" s="29" t="inlineStr">
        <is>
          <t>Roraima</t>
        </is>
      </c>
      <c r="C7" s="29" t="inlineStr">
        <is>
          <t>North</t>
        </is>
      </c>
      <c r="D7" s="28" t="n">
        <v>40</v>
      </c>
      <c r="E7" s="31" t="n">
        <v>7017.77</v>
      </c>
      <c r="F7" s="27" t="n">
        <v>0.125</v>
      </c>
      <c r="G7" s="28" t="n">
        <v>5</v>
      </c>
      <c r="H7" s="27" t="n">
        <v>0.000765579543714592</v>
      </c>
      <c r="I7" s="32" t="n">
        <v>29.907</v>
      </c>
      <c r="J7" s="32" t="n">
        <v>45.4715</v>
      </c>
      <c r="K7" s="30" t="n">
        <v>3.9</v>
      </c>
      <c r="L7" s="27" t="n">
        <v>0.125</v>
      </c>
    </row>
    <row r="8">
      <c r="A8" s="29" t="inlineStr">
        <is>
          <t>BA</t>
        </is>
      </c>
      <c r="B8" s="29" t="inlineStr">
        <is>
          <t>Bahia</t>
        </is>
      </c>
      <c r="C8" s="29" t="inlineStr">
        <is>
          <t>Northeast</t>
        </is>
      </c>
      <c r="D8" s="28" t="n">
        <v>3253</v>
      </c>
      <c r="E8" s="31" t="n">
        <v>493339.26</v>
      </c>
      <c r="F8" s="27" t="n">
        <v>0.1217337841992007</v>
      </c>
      <c r="G8" s="28" t="n">
        <v>396</v>
      </c>
      <c r="H8" s="27" t="n">
        <v>0.06063389986219568</v>
      </c>
      <c r="I8" s="32" t="n">
        <v>19.3340916077467</v>
      </c>
      <c r="J8" s="32" t="n">
        <v>29.40350445742392</v>
      </c>
      <c r="K8" s="30" t="n">
        <v>3.910236704580387</v>
      </c>
      <c r="L8" s="27" t="n">
        <v>0.136796802951122</v>
      </c>
    </row>
    <row r="9">
      <c r="A9" s="29" t="inlineStr">
        <is>
          <t>RJ</t>
        </is>
      </c>
      <c r="B9" s="29" t="inlineStr">
        <is>
          <t>Rio de Janeiro</t>
        </is>
      </c>
      <c r="C9" s="29" t="inlineStr">
        <is>
          <t>Southeast</t>
        </is>
      </c>
      <c r="D9" s="28" t="n">
        <v>12310</v>
      </c>
      <c r="E9" s="31" t="n">
        <v>1751433.85</v>
      </c>
      <c r="F9" s="27" t="n">
        <v>0.1214459788789602</v>
      </c>
      <c r="G9" s="28" t="n">
        <v>1495</v>
      </c>
      <c r="H9" s="27" t="n">
        <v>0.228908283570663</v>
      </c>
      <c r="I9" s="32" t="n">
        <v>15.29684971567831</v>
      </c>
      <c r="J9" s="32" t="n">
        <v>26.27373517465476</v>
      </c>
      <c r="K9" s="30" t="n">
        <v>3.94727863525589</v>
      </c>
      <c r="L9" s="27" t="n">
        <v>0.1512591389114541</v>
      </c>
    </row>
    <row r="10">
      <c r="A10" s="29" t="inlineStr">
        <is>
          <t>PA</t>
        </is>
      </c>
      <c r="B10" s="29" t="inlineStr">
        <is>
          <t>Pará</t>
        </is>
      </c>
      <c r="C10" s="29" t="inlineStr">
        <is>
          <t>North</t>
        </is>
      </c>
      <c r="D10" s="28" t="n">
        <v>942</v>
      </c>
      <c r="E10" s="31" t="n">
        <v>173382.99</v>
      </c>
      <c r="F10" s="27" t="n">
        <v>0.1125265392781316</v>
      </c>
      <c r="G10" s="28" t="n">
        <v>106</v>
      </c>
      <c r="H10" s="27" t="n">
        <v>0.01623028632674935</v>
      </c>
      <c r="I10" s="32" t="n">
        <v>23.75714437367304</v>
      </c>
      <c r="J10" s="32" t="n">
        <v>37.03657112526539</v>
      </c>
      <c r="K10" s="30" t="n">
        <v>3.888535031847134</v>
      </c>
      <c r="L10" s="27" t="n">
        <v>0.148619957537155</v>
      </c>
    </row>
    <row r="11">
      <c r="A11" s="29" t="inlineStr">
        <is>
          <t>ES</t>
        </is>
      </c>
      <c r="B11" s="29" t="inlineStr">
        <is>
          <t>Espírito Santo</t>
        </is>
      </c>
      <c r="C11" s="29" t="inlineStr">
        <is>
          <t>Southeast</t>
        </is>
      </c>
      <c r="D11" s="28" t="n">
        <v>1992</v>
      </c>
      <c r="E11" s="31" t="n">
        <v>267783.66</v>
      </c>
      <c r="F11" s="27" t="n">
        <v>0.107429718875502</v>
      </c>
      <c r="G11" s="28" t="n">
        <v>214</v>
      </c>
      <c r="H11" s="27" t="n">
        <v>0.03276680447098454</v>
      </c>
      <c r="I11" s="32" t="n">
        <v>15.77572791164659</v>
      </c>
      <c r="J11" s="32" t="n">
        <v>25.52900602409638</v>
      </c>
      <c r="K11" s="30" t="n">
        <v>4.04718875502008</v>
      </c>
      <c r="L11" s="27" t="n">
        <v>0.1184738955823293</v>
      </c>
    </row>
    <row r="12">
      <c r="A12" s="29" t="inlineStr">
        <is>
          <t>PB</t>
        </is>
      </c>
      <c r="B12" s="29" t="inlineStr">
        <is>
          <t>Paraíba</t>
        </is>
      </c>
      <c r="C12" s="29" t="inlineStr">
        <is>
          <t>Northeast</t>
        </is>
      </c>
      <c r="D12" s="28" t="n">
        <v>516</v>
      </c>
      <c r="E12" s="31" t="n">
        <v>112536.92</v>
      </c>
      <c r="F12" s="27" t="n">
        <v>0.1046511627906977</v>
      </c>
      <c r="G12" s="28" t="n">
        <v>54</v>
      </c>
      <c r="H12" s="27" t="n">
        <v>0.008268259072117593</v>
      </c>
      <c r="I12" s="32" t="n">
        <v>20.3931007751938</v>
      </c>
      <c r="J12" s="32" t="n">
        <v>32.96418604651163</v>
      </c>
      <c r="K12" s="30" t="n">
        <v>4.060077519379845</v>
      </c>
      <c r="L12" s="27" t="n">
        <v>0.1143410852713178</v>
      </c>
    </row>
    <row r="13">
      <c r="A13" s="29" t="inlineStr">
        <is>
          <t>TO</t>
        </is>
      </c>
      <c r="B13" s="29" t="inlineStr">
        <is>
          <t>Tocantins</t>
        </is>
      </c>
      <c r="C13" s="29" t="inlineStr">
        <is>
          <t>North</t>
        </is>
      </c>
      <c r="D13" s="28" t="n">
        <v>274</v>
      </c>
      <c r="E13" s="31" t="n">
        <v>48402.51</v>
      </c>
      <c r="F13" s="27" t="n">
        <v>0.09854014598540148</v>
      </c>
      <c r="G13" s="28" t="n">
        <v>27</v>
      </c>
      <c r="H13" s="27" t="n">
        <v>0.004134129536058796</v>
      </c>
      <c r="I13" s="32" t="n">
        <v>17.65788321167883</v>
      </c>
      <c r="J13" s="32" t="n">
        <v>29.09795620437956</v>
      </c>
      <c r="K13" s="30" t="n">
        <v>4.156934306569343</v>
      </c>
      <c r="L13" s="27" t="n">
        <v>0.08029197080291971</v>
      </c>
    </row>
    <row r="14">
      <c r="A14" s="29" t="inlineStr">
        <is>
          <t>MS</t>
        </is>
      </c>
      <c r="B14" s="29" t="inlineStr">
        <is>
          <t>Mato Grosso do Sul</t>
        </is>
      </c>
      <c r="C14" s="29" t="inlineStr">
        <is>
          <t>Central-West</t>
        </is>
      </c>
      <c r="D14" s="28" t="n">
        <v>701</v>
      </c>
      <c r="E14" s="31" t="n">
        <v>115429.97</v>
      </c>
      <c r="F14" s="27" t="n">
        <v>0.09700427960057065</v>
      </c>
      <c r="G14" s="28" t="n">
        <v>68</v>
      </c>
      <c r="H14" s="27" t="n">
        <v>0.01041188179451845</v>
      </c>
      <c r="I14" s="32" t="n">
        <v>15.61833095577746</v>
      </c>
      <c r="J14" s="32" t="n">
        <v>25.97383737517832</v>
      </c>
      <c r="K14" s="30" t="n">
        <v>4.158345221112696</v>
      </c>
      <c r="L14" s="27" t="n">
        <v>0.1027104136947218</v>
      </c>
    </row>
    <row r="15">
      <c r="A15" s="29" t="inlineStr">
        <is>
          <t>PE</t>
        </is>
      </c>
      <c r="B15" s="29" t="inlineStr">
        <is>
          <t>Pernambuco</t>
        </is>
      </c>
      <c r="C15" s="29" t="inlineStr">
        <is>
          <t>Northeast</t>
        </is>
      </c>
      <c r="D15" s="28" t="n">
        <v>1587</v>
      </c>
      <c r="E15" s="31" t="n">
        <v>250639.89</v>
      </c>
      <c r="F15" s="27" t="n">
        <v>0.09640831758034028</v>
      </c>
      <c r="G15" s="28" t="n">
        <v>153</v>
      </c>
      <c r="H15" s="27" t="n">
        <v>0.02342673403766651</v>
      </c>
      <c r="I15" s="32" t="n">
        <v>18.44989918084436</v>
      </c>
      <c r="J15" s="32" t="n">
        <v>30.93028985507246</v>
      </c>
      <c r="K15" s="30" t="n">
        <v>4.068052930056711</v>
      </c>
      <c r="L15" s="27" t="n">
        <v>0.1184625078764965</v>
      </c>
    </row>
    <row r="16">
      <c r="A16" s="29" t="inlineStr">
        <is>
          <t>RN</t>
        </is>
      </c>
      <c r="B16" s="29" t="inlineStr">
        <is>
          <t>Rio Grande do Norte</t>
        </is>
      </c>
      <c r="C16" s="29" t="inlineStr">
        <is>
          <t>Northeast</t>
        </is>
      </c>
      <c r="D16" s="28" t="n">
        <v>470</v>
      </c>
      <c r="E16" s="31" t="n">
        <v>81376.97</v>
      </c>
      <c r="F16" s="27" t="n">
        <v>0.09361702127659577</v>
      </c>
      <c r="G16" s="28" t="n">
        <v>44</v>
      </c>
      <c r="H16" s="27" t="n">
        <v>0.00673709998468841</v>
      </c>
      <c r="I16" s="32" t="n">
        <v>19.21117021276596</v>
      </c>
      <c r="J16" s="32" t="n">
        <v>31.96606382978723</v>
      </c>
      <c r="K16" s="30" t="n">
        <v>4.123404255319149</v>
      </c>
      <c r="L16" s="27" t="n">
        <v>0.1085106382978723</v>
      </c>
    </row>
    <row r="17">
      <c r="A17" s="29" t="inlineStr">
        <is>
          <t>SC</t>
        </is>
      </c>
      <c r="B17" s="29" t="inlineStr">
        <is>
          <t>Santa Catarina</t>
        </is>
      </c>
      <c r="C17" s="29" t="inlineStr">
        <is>
          <t>South</t>
        </is>
      </c>
      <c r="D17" s="28" t="n">
        <v>3537</v>
      </c>
      <c r="E17" s="31" t="n">
        <v>504774.07</v>
      </c>
      <c r="F17" s="27" t="n">
        <v>0.08227311280746395</v>
      </c>
      <c r="G17" s="28" t="n">
        <v>291</v>
      </c>
      <c r="H17" s="27" t="n">
        <v>0.04455672944418925</v>
      </c>
      <c r="I17" s="32" t="n">
        <v>14.94615493355951</v>
      </c>
      <c r="J17" s="32" t="n">
        <v>25.68507209499576</v>
      </c>
      <c r="K17" s="30" t="n">
        <v>4.11761379700311</v>
      </c>
      <c r="L17" s="27" t="n">
        <v>0.1017811704834606</v>
      </c>
    </row>
    <row r="18">
      <c r="A18" s="29" t="inlineStr">
        <is>
          <t>GO</t>
        </is>
      </c>
      <c r="B18" s="29" t="inlineStr">
        <is>
          <t>Goiás</t>
        </is>
      </c>
      <c r="C18" s="29" t="inlineStr">
        <is>
          <t>Central-West</t>
        </is>
      </c>
      <c r="D18" s="28" t="n">
        <v>1950</v>
      </c>
      <c r="E18" s="31" t="n">
        <v>281932.21</v>
      </c>
      <c r="F18" s="27" t="n">
        <v>0.06564102564102564</v>
      </c>
      <c r="G18" s="28" t="n">
        <v>128</v>
      </c>
      <c r="H18" s="27" t="n">
        <v>0.01959883631909356</v>
      </c>
      <c r="I18" s="32" t="n">
        <v>15.61154871794872</v>
      </c>
      <c r="J18" s="32" t="n">
        <v>26.97297435897436</v>
      </c>
      <c r="K18" s="30" t="n">
        <v>4.088717948717949</v>
      </c>
      <c r="L18" s="27" t="n">
        <v>0.1020512820512821</v>
      </c>
    </row>
    <row r="19">
      <c r="A19" s="29" t="inlineStr">
        <is>
          <t>RS</t>
        </is>
      </c>
      <c r="B19" s="29" t="inlineStr">
        <is>
          <t>Rio Grande do Sul</t>
        </is>
      </c>
      <c r="C19" s="29" t="inlineStr">
        <is>
          <t>South</t>
        </is>
      </c>
      <c r="D19" s="28" t="n">
        <v>5327</v>
      </c>
      <c r="E19" s="31" t="n">
        <v>726194.92</v>
      </c>
      <c r="F19" s="27" t="n">
        <v>0.06100994931481134</v>
      </c>
      <c r="G19" s="28" t="n">
        <v>325</v>
      </c>
      <c r="H19" s="27" t="n">
        <v>0.04976267034144848</v>
      </c>
      <c r="I19" s="32" t="n">
        <v>15.28865778111507</v>
      </c>
      <c r="J19" s="32" t="n">
        <v>28.42207621550591</v>
      </c>
      <c r="K19" s="30" t="n">
        <v>4.179838558287967</v>
      </c>
      <c r="L19" s="27" t="n">
        <v>0.09104561666979541</v>
      </c>
    </row>
    <row r="20">
      <c r="A20" s="29" t="inlineStr">
        <is>
          <t>MT</t>
        </is>
      </c>
      <c r="B20" s="29" t="inlineStr">
        <is>
          <t>Mato Grosso</t>
        </is>
      </c>
      <c r="C20" s="29" t="inlineStr">
        <is>
          <t>Central-West</t>
        </is>
      </c>
      <c r="D20" s="28" t="n">
        <v>885</v>
      </c>
      <c r="E20" s="31" t="n">
        <v>152143.82</v>
      </c>
      <c r="F20" s="27" t="n">
        <v>0.05988700564971752</v>
      </c>
      <c r="G20" s="28" t="n">
        <v>53</v>
      </c>
      <c r="H20" s="27" t="n">
        <v>0.008115143163374675</v>
      </c>
      <c r="I20" s="32" t="n">
        <v>18.06827118644068</v>
      </c>
      <c r="J20" s="32" t="n">
        <v>31.70662146892656</v>
      </c>
      <c r="K20" s="30" t="n">
        <v>4.128813559322034</v>
      </c>
      <c r="L20" s="27" t="n">
        <v>0.09378531073446329</v>
      </c>
    </row>
    <row r="21">
      <c r="A21" s="29" t="inlineStr">
        <is>
          <t>DF</t>
        </is>
      </c>
      <c r="B21" s="29" t="inlineStr">
        <is>
          <t>Distrito Federal</t>
        </is>
      </c>
      <c r="C21" s="29" t="inlineStr">
        <is>
          <t>Central-West</t>
        </is>
      </c>
      <c r="D21" s="28" t="n">
        <v>2074</v>
      </c>
      <c r="E21" s="31" t="n">
        <v>295454.64</v>
      </c>
      <c r="F21" s="27" t="n">
        <v>0.05689488910318226</v>
      </c>
      <c r="G21" s="28" t="n">
        <v>118</v>
      </c>
      <c r="H21" s="27" t="n">
        <v>0.01806767723166437</v>
      </c>
      <c r="I21" s="32" t="n">
        <v>12.93862102217936</v>
      </c>
      <c r="J21" s="32" t="n">
        <v>24.20955159112825</v>
      </c>
      <c r="K21" s="30" t="n">
        <v>4.127772420443587</v>
      </c>
      <c r="L21" s="27" t="n">
        <v>0.103182256509161</v>
      </c>
    </row>
    <row r="22">
      <c r="A22" s="29" t="inlineStr">
        <is>
          <t>MG</t>
        </is>
      </c>
      <c r="B22" s="29" t="inlineStr">
        <is>
          <t>Minas Gerais</t>
        </is>
      </c>
      <c r="C22" s="29" t="inlineStr">
        <is>
          <t>Southeast</t>
        </is>
      </c>
      <c r="D22" s="28" t="n">
        <v>11319</v>
      </c>
      <c r="E22" s="31" t="n">
        <v>1548206.88</v>
      </c>
      <c r="F22" s="27" t="n">
        <v>0.04585210707659687</v>
      </c>
      <c r="G22" s="28" t="n">
        <v>519</v>
      </c>
      <c r="H22" s="27" t="n">
        <v>0.07946715663757464</v>
      </c>
      <c r="I22" s="32" t="n">
        <v>11.98450039756162</v>
      </c>
      <c r="J22" s="32" t="n">
        <v>24.45480166092411</v>
      </c>
      <c r="K22" s="30" t="n">
        <v>4.180934711546956</v>
      </c>
      <c r="L22" s="27" t="n">
        <v>0.09214594928880643</v>
      </c>
    </row>
    <row r="23">
      <c r="A23" s="29" t="inlineStr">
        <is>
          <t>SP</t>
        </is>
      </c>
      <c r="B23" s="29" t="inlineStr">
        <is>
          <t>São Paulo</t>
        </is>
      </c>
      <c r="C23" s="29" t="inlineStr">
        <is>
          <t>Southeast</t>
        </is>
      </c>
      <c r="D23" s="28" t="n">
        <v>40399</v>
      </c>
      <c r="E23" s="31" t="n">
        <v>5054516.95</v>
      </c>
      <c r="F23" s="27" t="n">
        <v>0.04497636080100993</v>
      </c>
      <c r="G23" s="28" t="n">
        <v>1817</v>
      </c>
      <c r="H23" s="27" t="n">
        <v>0.2782116061858828</v>
      </c>
      <c r="I23" s="32" t="n">
        <v>8.737564791207703</v>
      </c>
      <c r="J23" s="32" t="n">
        <v>19.06384960023763</v>
      </c>
      <c r="K23" s="30" t="n">
        <v>4.234783039184138</v>
      </c>
      <c r="L23" s="27" t="n">
        <v>0.08141290626005594</v>
      </c>
    </row>
    <row r="24">
      <c r="A24" s="29" t="inlineStr">
        <is>
          <t>PR</t>
        </is>
      </c>
      <c r="B24" s="29" t="inlineStr">
        <is>
          <t>Paraná</t>
        </is>
      </c>
      <c r="C24" s="29" t="inlineStr">
        <is>
          <t>South</t>
        </is>
      </c>
      <c r="D24" s="28" t="n">
        <v>4903</v>
      </c>
      <c r="E24" s="31" t="n">
        <v>664048</v>
      </c>
      <c r="F24" s="27" t="n">
        <v>0.0405873954721599</v>
      </c>
      <c r="G24" s="28" t="n">
        <v>199</v>
      </c>
      <c r="H24" s="27" t="n">
        <v>0.03047006583984076</v>
      </c>
      <c r="I24" s="32" t="n">
        <v>11.97314297368958</v>
      </c>
      <c r="J24" s="32" t="n">
        <v>24.4960840301856</v>
      </c>
      <c r="K24" s="30" t="n">
        <v>4.229859269834795</v>
      </c>
      <c r="L24" s="27" t="n">
        <v>0.08199061798898635</v>
      </c>
    </row>
    <row r="25">
      <c r="A25" s="29" t="inlineStr">
        <is>
          <t>AC</t>
        </is>
      </c>
      <c r="B25" s="29" t="inlineStr">
        <is>
          <t>Acre</t>
        </is>
      </c>
      <c r="C25" s="29" t="inlineStr">
        <is>
          <t>North</t>
        </is>
      </c>
      <c r="D25" s="28" t="n">
        <v>80</v>
      </c>
      <c r="E25" s="31" t="n">
        <v>15930.97</v>
      </c>
      <c r="F25" s="27" t="n">
        <v>0.0375</v>
      </c>
      <c r="G25" s="28" t="n">
        <v>3</v>
      </c>
      <c r="H25" s="27" t="n">
        <v>0.000459347726228755</v>
      </c>
      <c r="I25" s="32" t="n">
        <v>21.03525</v>
      </c>
      <c r="J25" s="32" t="n">
        <v>41.113375</v>
      </c>
      <c r="K25" s="30" t="n">
        <v>4.0875</v>
      </c>
      <c r="L25" s="27" t="n">
        <v>0.075</v>
      </c>
    </row>
    <row r="26">
      <c r="A26" s="29" t="inlineStr">
        <is>
          <t>AP</t>
        </is>
      </c>
      <c r="B26" s="29" t="inlineStr">
        <is>
          <t>Amapá</t>
        </is>
      </c>
      <c r="C26" s="29" t="inlineStr">
        <is>
          <t>North</t>
        </is>
      </c>
      <c r="D26" s="28" t="n">
        <v>67</v>
      </c>
      <c r="E26" s="31" t="n">
        <v>13374.81</v>
      </c>
      <c r="F26" s="27" t="n">
        <v>0.02985074626865672</v>
      </c>
      <c r="G26" s="28" t="n">
        <v>2</v>
      </c>
      <c r="H26" s="27" t="n">
        <v>0.000306231817485836</v>
      </c>
      <c r="I26" s="32" t="n">
        <v>27.18522388059701</v>
      </c>
      <c r="J26" s="32" t="n">
        <v>46.24388059701493</v>
      </c>
      <c r="K26" s="30" t="n">
        <v>4.223880597014926</v>
      </c>
      <c r="L26" s="27" t="n">
        <v>0.02985074626865672</v>
      </c>
    </row>
    <row r="27">
      <c r="A27" s="29" t="inlineStr">
        <is>
          <t>RO</t>
        </is>
      </c>
      <c r="B27" s="29" t="inlineStr">
        <is>
          <t>Rondônia</t>
        </is>
      </c>
      <c r="C27" s="29" t="inlineStr">
        <is>
          <t>North</t>
        </is>
      </c>
      <c r="D27" s="28" t="n">
        <v>243</v>
      </c>
      <c r="E27" s="31" t="n">
        <v>45682.76</v>
      </c>
      <c r="F27" s="27" t="n">
        <v>0.02880658436213992</v>
      </c>
      <c r="G27" s="28" t="n">
        <v>7</v>
      </c>
      <c r="H27" s="27" t="n">
        <v>0.001071811361200428</v>
      </c>
      <c r="I27" s="32" t="n">
        <v>19.37213991769548</v>
      </c>
      <c r="J27" s="32" t="n">
        <v>38.76868312757202</v>
      </c>
      <c r="K27" s="30" t="n">
        <v>4.168724279835391</v>
      </c>
      <c r="L27" s="27" t="n">
        <v>0.06995884773662552</v>
      </c>
    </row>
    <row r="28">
      <c r="A28" s="29" t="inlineStr">
        <is>
          <t>AM</t>
        </is>
      </c>
      <c r="B28" s="29" t="inlineStr">
        <is>
          <t>Amazonas</t>
        </is>
      </c>
      <c r="C28" s="29" t="inlineStr">
        <is>
          <t>North</t>
        </is>
      </c>
      <c r="D28" s="28" t="n">
        <v>145</v>
      </c>
      <c r="E28" s="31" t="n">
        <v>22155.84</v>
      </c>
      <c r="F28" s="27" t="n">
        <v>0.02758620689655173</v>
      </c>
      <c r="G28" s="28" t="n">
        <v>4</v>
      </c>
      <c r="H28" s="27" t="n">
        <v>0.0006124636349716729</v>
      </c>
      <c r="I28" s="32" t="n">
        <v>26.42586206896552</v>
      </c>
      <c r="J28" s="32" t="n">
        <v>45.27786206896552</v>
      </c>
      <c r="K28" s="30" t="n">
        <v>4.23448275862069</v>
      </c>
      <c r="L28" s="27" t="n">
        <v>0.06896551724137931</v>
      </c>
    </row>
  </sheetData>
  <conditionalFormatting sqref="F2:F28">
    <cfRule type="dataBar" priority="1">
      <dataBar>
        <cfvo type="num" val="0"/>
        <cfvo type="max"/>
        <color rgb="00E34948"/>
      </dataBar>
    </cfRule>
  </conditionalFormatting>
  <conditionalFormatting sqref="K2:K28">
    <cfRule type="colorScale" priority="2">
      <colorScale>
        <cfvo type="min"/>
        <cfvo type="max"/>
        <color rgb="00F8CFCB"/>
        <color rgb="00FFFFF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9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>
      <c r="A1" s="25" t="inlineStr">
        <is>
          <t>Route (seller state → customer state)</t>
        </is>
      </c>
      <c r="B1" s="25" t="inlineStr">
        <is>
          <t>Orders</t>
        </is>
      </c>
      <c r="C1" s="25" t="inlineStr">
        <is>
          <t>Late orders</t>
        </is>
      </c>
      <c r="D1" s="25" t="inlineStr">
        <is>
          <t>% late</t>
        </is>
      </c>
      <c r="E1" s="25" t="inlineStr">
        <is>
          <t>Cumulative share of all late orders</t>
        </is>
      </c>
      <c r="F1" s="25" t="inlineStr">
        <is>
          <t>Avg delivery days</t>
        </is>
      </c>
      <c r="G1" s="25" t="inlineStr">
        <is>
          <t>Avg promised days</t>
        </is>
      </c>
      <c r="H1" s="25" t="inlineStr">
        <is>
          <t>Avg review score</t>
        </is>
      </c>
    </row>
    <row r="2">
      <c r="A2" s="29" t="inlineStr">
        <is>
          <t>SP → SP</t>
        </is>
      </c>
      <c r="B2" s="28" t="n">
        <v>30662</v>
      </c>
      <c r="C2" s="28" t="n">
        <v>1427</v>
      </c>
      <c r="D2" s="27" t="n">
        <v>0.04653969082251647</v>
      </c>
      <c r="E2" s="27" t="n">
        <v>0.2184964017761445</v>
      </c>
      <c r="F2" s="32" t="n">
        <v>7.92435881547192</v>
      </c>
      <c r="G2" s="32" t="n">
        <v>17.25580490509425</v>
      </c>
      <c r="H2" s="30" t="n">
        <v>4.235992433631205</v>
      </c>
    </row>
    <row r="3">
      <c r="A3" s="29" t="inlineStr">
        <is>
          <t>SP → RJ</t>
        </is>
      </c>
      <c r="B3" s="28" t="n">
        <v>8137</v>
      </c>
      <c r="C3" s="28" t="n">
        <v>1152</v>
      </c>
      <c r="D3" s="27" t="n">
        <v>0.1415755192331326</v>
      </c>
      <c r="E3" s="27" t="n">
        <v>0.3948859286479866</v>
      </c>
      <c r="F3" s="32" t="n">
        <v>16.26885215681455</v>
      </c>
      <c r="G3" s="32" t="n">
        <v>26.33943959690304</v>
      </c>
      <c r="H3" s="30" t="n">
        <v>3.868256114046946</v>
      </c>
    </row>
    <row r="4">
      <c r="A4" s="29" t="inlineStr">
        <is>
          <t>SP → MG</t>
        </is>
      </c>
      <c r="B4" s="28" t="n">
        <v>7419</v>
      </c>
      <c r="C4" s="28" t="n">
        <v>393</v>
      </c>
      <c r="D4" s="27" t="n">
        <v>0.05297209866558836</v>
      </c>
      <c r="E4" s="27" t="n">
        <v>0.4550604807839535</v>
      </c>
      <c r="F4" s="32" t="n">
        <v>12.34002426202992</v>
      </c>
      <c r="G4" s="32" t="n">
        <v>24.24771397762502</v>
      </c>
      <c r="H4" s="30" t="n">
        <v>4.135328211349238</v>
      </c>
    </row>
    <row r="5">
      <c r="A5" s="29" t="inlineStr">
        <is>
          <t>SP → BA</t>
        </is>
      </c>
      <c r="B5" s="28" t="n">
        <v>2304</v>
      </c>
      <c r="C5" s="28" t="n">
        <v>297</v>
      </c>
      <c r="D5" s="27" t="n">
        <v>0.12890625</v>
      </c>
      <c r="E5" s="27" t="n">
        <v>0.5005359056806001</v>
      </c>
      <c r="F5" s="32" t="n">
        <v>19.80898871527778</v>
      </c>
      <c r="G5" s="32" t="n">
        <v>29.8266015625</v>
      </c>
      <c r="H5" s="30" t="n">
        <v>3.85546875</v>
      </c>
    </row>
    <row r="6">
      <c r="A6" s="29" t="inlineStr">
        <is>
          <t>SP → RS</t>
        </is>
      </c>
      <c r="B6" s="28" t="n">
        <v>3583</v>
      </c>
      <c r="C6" s="28" t="n">
        <v>238</v>
      </c>
      <c r="D6" s="27" t="n">
        <v>0.06642478370080938</v>
      </c>
      <c r="E6" s="27" t="n">
        <v>0.5369774919614148</v>
      </c>
      <c r="F6" s="32" t="n">
        <v>16.1567848171923</v>
      </c>
      <c r="G6" s="32" t="n">
        <v>29.59108289143176</v>
      </c>
      <c r="H6" s="30" t="n">
        <v>4.119452972369523</v>
      </c>
    </row>
    <row r="7">
      <c r="A7" s="29" t="inlineStr">
        <is>
          <t>SP → SC</t>
        </is>
      </c>
      <c r="B7" s="28" t="n">
        <v>2320</v>
      </c>
      <c r="C7" s="28" t="n">
        <v>222</v>
      </c>
      <c r="D7" s="27" t="n">
        <v>0.0956896551724138</v>
      </c>
      <c r="E7" s="27" t="n">
        <v>0.5709692237023427</v>
      </c>
      <c r="F7" s="32" t="n">
        <v>15.82660775862069</v>
      </c>
      <c r="G7" s="32" t="n">
        <v>26.02098275862069</v>
      </c>
      <c r="H7" s="30" t="n">
        <v>4.019827586206897</v>
      </c>
    </row>
    <row r="8">
      <c r="A8" s="29" t="inlineStr">
        <is>
          <t>SP → ES</t>
        </is>
      </c>
      <c r="B8" s="28" t="n">
        <v>1458</v>
      </c>
      <c r="C8" s="28" t="n">
        <v>180</v>
      </c>
      <c r="D8" s="27" t="n">
        <v>0.1234567901234568</v>
      </c>
      <c r="E8" s="27" t="n">
        <v>0.5985300872760679</v>
      </c>
      <c r="F8" s="32" t="n">
        <v>15.78368998628258</v>
      </c>
      <c r="G8" s="32" t="n">
        <v>24.60113168724279</v>
      </c>
      <c r="H8" s="30" t="n">
        <v>4.030178326474623</v>
      </c>
    </row>
    <row r="9">
      <c r="A9" s="29" t="inlineStr">
        <is>
          <t>SP → PR</t>
        </is>
      </c>
      <c r="B9" s="28" t="n">
        <v>3108</v>
      </c>
      <c r="C9" s="28" t="n">
        <v>138</v>
      </c>
      <c r="D9" s="27" t="n">
        <v>0.0444015444015444</v>
      </c>
      <c r="E9" s="27" t="n">
        <v>0.6196600826825908</v>
      </c>
      <c r="F9" s="32" t="n">
        <v>12.76889961389961</v>
      </c>
      <c r="G9" s="32" t="n">
        <v>25.04547297297297</v>
      </c>
      <c r="H9" s="30" t="n">
        <v>4.182110682110682</v>
      </c>
    </row>
    <row r="10">
      <c r="A10" s="29" t="inlineStr">
        <is>
          <t>SP → CE</t>
        </is>
      </c>
      <c r="B10" s="28" t="n">
        <v>966</v>
      </c>
      <c r="C10" s="28" t="n">
        <v>133</v>
      </c>
      <c r="D10" s="27" t="n">
        <v>0.1376811594202899</v>
      </c>
      <c r="E10" s="27" t="n">
        <v>0.6400244985453989</v>
      </c>
      <c r="F10" s="32" t="n">
        <v>21.19844720496895</v>
      </c>
      <c r="G10" s="32" t="n">
        <v>31.28154244306418</v>
      </c>
      <c r="H10" s="30" t="n">
        <v>3.952380952380953</v>
      </c>
    </row>
    <row r="11">
      <c r="A11" s="29" t="inlineStr">
        <is>
          <t>PR → RJ</t>
        </is>
      </c>
      <c r="B11" s="28" t="n">
        <v>967</v>
      </c>
      <c r="C11" s="28" t="n">
        <v>117</v>
      </c>
      <c r="D11" s="27" t="n">
        <v>0.1209927611168563</v>
      </c>
      <c r="E11" s="27" t="n">
        <v>0.6579390598683204</v>
      </c>
      <c r="F11" s="32" t="n">
        <v>17.27621509824198</v>
      </c>
      <c r="G11" s="32" t="n">
        <v>29.6345708376422</v>
      </c>
      <c r="H11" s="30" t="n">
        <v>3.879007238883144</v>
      </c>
    </row>
    <row r="12">
      <c r="A12" s="29" t="inlineStr">
        <is>
          <t>SP → PE</t>
        </is>
      </c>
      <c r="B12" s="28" t="n">
        <v>1127</v>
      </c>
      <c r="C12" s="28" t="n">
        <v>111</v>
      </c>
      <c r="D12" s="27" t="n">
        <v>0.09849157054125998</v>
      </c>
      <c r="E12" s="27" t="n">
        <v>0.6749349257387842</v>
      </c>
      <c r="F12" s="32" t="n">
        <v>18.94188997338065</v>
      </c>
      <c r="G12" s="32" t="n">
        <v>31.71938775510204</v>
      </c>
      <c r="H12" s="30" t="n">
        <v>4.028393966282165</v>
      </c>
    </row>
    <row r="13">
      <c r="A13" s="29" t="inlineStr">
        <is>
          <t>SP → GO</t>
        </is>
      </c>
      <c r="B13" s="28" t="n">
        <v>1418</v>
      </c>
      <c r="C13" s="28" t="n">
        <v>106</v>
      </c>
      <c r="D13" s="27" t="n">
        <v>0.07475317348377997</v>
      </c>
      <c r="E13" s="27" t="n">
        <v>0.6911652120655336</v>
      </c>
      <c r="F13" s="32" t="n">
        <v>16.01011988716502</v>
      </c>
      <c r="G13" s="32" t="n">
        <v>26.770317348378</v>
      </c>
      <c r="H13" s="30" t="n">
        <v>4.044428772919605</v>
      </c>
    </row>
    <row r="14">
      <c r="A14" s="29" t="inlineStr">
        <is>
          <t>RJ → SP</t>
        </is>
      </c>
      <c r="B14" s="28" t="n">
        <v>1309</v>
      </c>
      <c r="C14" s="28" t="n">
        <v>103</v>
      </c>
      <c r="D14" s="27" t="n">
        <v>0.07868601986249045</v>
      </c>
      <c r="E14" s="27" t="n">
        <v>0.7069361506660542</v>
      </c>
      <c r="F14" s="32" t="n">
        <v>11.77764705882353</v>
      </c>
      <c r="G14" s="32" t="n">
        <v>22.55286478227655</v>
      </c>
      <c r="H14" s="30" t="n">
        <v>4.13598166539343</v>
      </c>
    </row>
    <row r="15">
      <c r="A15" s="29" t="inlineStr">
        <is>
          <t>MG → RJ</t>
        </is>
      </c>
      <c r="B15" s="28" t="n">
        <v>1134</v>
      </c>
      <c r="C15" s="28" t="n">
        <v>94</v>
      </c>
      <c r="D15" s="27" t="n">
        <v>0.08289241622574955</v>
      </c>
      <c r="E15" s="27" t="n">
        <v>0.7213290460878885</v>
      </c>
      <c r="F15" s="32" t="n">
        <v>14.14463844797178</v>
      </c>
      <c r="G15" s="32" t="n">
        <v>26.7092151675485</v>
      </c>
      <c r="H15" s="30" t="n">
        <v>4.127865961199294</v>
      </c>
    </row>
    <row r="16">
      <c r="A16" s="29" t="inlineStr">
        <is>
          <t>SP → MA</t>
        </is>
      </c>
      <c r="B16" s="28" t="n">
        <v>489</v>
      </c>
      <c r="C16" s="28" t="n">
        <v>93</v>
      </c>
      <c r="D16" s="27" t="n">
        <v>0.1901840490797546</v>
      </c>
      <c r="E16" s="27" t="n">
        <v>0.7355688256009799</v>
      </c>
      <c r="F16" s="32" t="n">
        <v>21.96531697341513</v>
      </c>
      <c r="G16" s="32" t="n">
        <v>30.44640081799591</v>
      </c>
      <c r="H16" s="30" t="n">
        <v>3.69120654396728</v>
      </c>
    </row>
    <row r="17">
      <c r="A17" s="29" t="inlineStr">
        <is>
          <t>MG → SP</t>
        </is>
      </c>
      <c r="B17" s="28" t="n">
        <v>2544</v>
      </c>
      <c r="C17" s="28" t="n">
        <v>91</v>
      </c>
      <c r="D17" s="27" t="n">
        <v>0.03577044025157233</v>
      </c>
      <c r="E17" s="27" t="n">
        <v>0.7495023732965855</v>
      </c>
      <c r="F17" s="32" t="n">
        <v>10.89505503144654</v>
      </c>
      <c r="G17" s="32" t="n">
        <v>23.68838836477988</v>
      </c>
      <c r="H17" s="30" t="n">
        <v>4.235455974842767</v>
      </c>
    </row>
    <row r="18">
      <c r="A18" s="29" t="inlineStr">
        <is>
          <t>SP → DF</t>
        </is>
      </c>
      <c r="B18" s="28" t="n">
        <v>1379</v>
      </c>
      <c r="C18" s="28" t="n">
        <v>89</v>
      </c>
      <c r="D18" s="27" t="n">
        <v>0.06453952139231327</v>
      </c>
      <c r="E18" s="27" t="n">
        <v>0.7631296891747053</v>
      </c>
      <c r="F18" s="32" t="n">
        <v>13.26368382886149</v>
      </c>
      <c r="G18" s="32" t="n">
        <v>23.95125453226976</v>
      </c>
      <c r="H18" s="30" t="n">
        <v>4.065264684554025</v>
      </c>
    </row>
    <row r="19">
      <c r="A19" s="29" t="inlineStr">
        <is>
          <t>PR → SP</t>
        </is>
      </c>
      <c r="B19" s="28" t="n">
        <v>2917</v>
      </c>
      <c r="C19" s="28" t="n">
        <v>88</v>
      </c>
      <c r="D19" s="27" t="n">
        <v>0.03016798080219403</v>
      </c>
      <c r="E19" s="27" t="n">
        <v>0.7766038891440821</v>
      </c>
      <c r="F19" s="32" t="n">
        <v>11.10351045594789</v>
      </c>
      <c r="G19" s="32" t="n">
        <v>25.51172094617758</v>
      </c>
      <c r="H19" s="30" t="n">
        <v>4.261227288309907</v>
      </c>
    </row>
    <row r="20">
      <c r="A20" s="29" t="inlineStr">
        <is>
          <t>SP → PA</t>
        </is>
      </c>
      <c r="B20" s="28" t="n">
        <v>680</v>
      </c>
      <c r="C20" s="28" t="n">
        <v>82</v>
      </c>
      <c r="D20" s="27" t="n">
        <v>0.1205882352941176</v>
      </c>
      <c r="E20" s="27" t="n">
        <v>0.7891593936610013</v>
      </c>
      <c r="F20" s="32" t="n">
        <v>23.31310294117647</v>
      </c>
      <c r="G20" s="32" t="n">
        <v>36.55994117647059</v>
      </c>
      <c r="H20" s="30" t="n">
        <v>3.85</v>
      </c>
    </row>
    <row r="21">
      <c r="A21" s="29" t="inlineStr">
        <is>
          <t>SP → AL</t>
        </is>
      </c>
      <c r="B21" s="28" t="n">
        <v>255</v>
      </c>
      <c r="C21" s="28" t="n">
        <v>61</v>
      </c>
      <c r="D21" s="27" t="n">
        <v>0.2392156862745098</v>
      </c>
      <c r="E21" s="27" t="n">
        <v>0.7984994640943194</v>
      </c>
      <c r="F21" s="32" t="n">
        <v>25.05341176470588</v>
      </c>
      <c r="G21" s="32" t="n">
        <v>32.26454901960785</v>
      </c>
      <c r="H21" s="30" t="n">
        <v>3.690196078431373</v>
      </c>
    </row>
  </sheetData>
  <conditionalFormatting sqref="D2:D21">
    <cfRule type="dataBar" priority="1">
      <dataBar>
        <cfvo type="num" val="0"/>
        <cfvo type="max"/>
        <color rgb="00E34948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6" customWidth="1" min="4" max="4"/>
    <col width="12" customWidth="1" min="5" max="5"/>
    <col width="16" customWidth="1" min="6" max="6"/>
    <col width="9" customWidth="1" min="7" max="7"/>
    <col width="14" customWidth="1" min="8" max="8"/>
    <col width="9" customWidth="1" min="9" max="9"/>
  </cols>
  <sheetData>
    <row r="1">
      <c r="A1" s="25" t="inlineStr">
        <is>
          <t>Category</t>
        </is>
      </c>
      <c r="B1" s="25" t="inlineStr">
        <is>
          <t>Orders</t>
        </is>
      </c>
      <c r="C1" s="25" t="inlineStr">
        <is>
          <t>Items sold</t>
        </is>
      </c>
      <c r="D1" s="25" t="inlineStr">
        <is>
          <t>Revenue (R$)</t>
        </is>
      </c>
      <c r="E1" s="25" t="inlineStr">
        <is>
          <t>% of revenue</t>
        </is>
      </c>
      <c r="F1" s="25" t="inlineStr">
        <is>
          <t>Freight as % of price</t>
        </is>
      </c>
      <c r="G1" s="25" t="inlineStr">
        <is>
          <t>% late</t>
        </is>
      </c>
      <c r="H1" s="25" t="inlineStr">
        <is>
          <t>Avg review score</t>
        </is>
      </c>
      <c r="I1" s="25" t="inlineStr">
        <is>
          <t>% 1-star</t>
        </is>
      </c>
    </row>
    <row r="2">
      <c r="A2" s="29" t="inlineStr">
        <is>
          <t>health_beauty</t>
        </is>
      </c>
      <c r="B2" s="28" t="n">
        <v>8610</v>
      </c>
      <c r="C2" s="28" t="n">
        <v>9422</v>
      </c>
      <c r="D2" s="31" t="n">
        <v>1229557.5</v>
      </c>
      <c r="E2" s="27" t="n">
        <v>0.0932912151224824</v>
      </c>
      <c r="F2" s="27" t="n">
        <v>0.1449320426250907</v>
      </c>
      <c r="G2" s="27" t="n">
        <v>0.07556781999575461</v>
      </c>
      <c r="H2" s="30" t="n">
        <v>4.178093822967523</v>
      </c>
      <c r="I2" s="27" t="n">
        <v>0.1034812141795797</v>
      </c>
    </row>
    <row r="3">
      <c r="A3" s="29" t="inlineStr">
        <is>
          <t>watches_gifts</t>
        </is>
      </c>
      <c r="B3" s="28" t="n">
        <v>5489</v>
      </c>
      <c r="C3" s="28" t="n">
        <v>5853</v>
      </c>
      <c r="D3" s="31" t="n">
        <v>1163187.91</v>
      </c>
      <c r="E3" s="27" t="n">
        <v>0.08825550130000483</v>
      </c>
      <c r="F3" s="27" t="n">
        <v>0.0842816187798926</v>
      </c>
      <c r="G3" s="27" t="n">
        <v>0.07209977789167948</v>
      </c>
      <c r="H3" s="30" t="n">
        <v>4.055185375021357</v>
      </c>
      <c r="I3" s="27" t="n">
        <v>0.1168631471040492</v>
      </c>
    </row>
    <row r="4">
      <c r="A4" s="29" t="inlineStr">
        <is>
          <t>bed_bath_table</t>
        </is>
      </c>
      <c r="B4" s="28" t="n">
        <v>9267</v>
      </c>
      <c r="C4" s="28" t="n">
        <v>10945</v>
      </c>
      <c r="D4" s="31" t="n">
        <v>1022955.77</v>
      </c>
      <c r="E4" s="27" t="n">
        <v>0.07761555421349114</v>
      </c>
      <c r="F4" s="27" t="n">
        <v>0.1971218266846473</v>
      </c>
      <c r="G4" s="27" t="n">
        <v>0.07035175879396985</v>
      </c>
      <c r="H4" s="30" t="n">
        <v>3.901142074006396</v>
      </c>
      <c r="I4" s="27" t="n">
        <v>0.1434444952032892</v>
      </c>
    </row>
    <row r="5">
      <c r="A5" s="29" t="inlineStr">
        <is>
          <t>sports_leisure</t>
        </is>
      </c>
      <c r="B5" s="28" t="n">
        <v>7512</v>
      </c>
      <c r="C5" s="28" t="n">
        <v>8413</v>
      </c>
      <c r="D5" s="31" t="n">
        <v>952661.4</v>
      </c>
      <c r="E5" s="27" t="n">
        <v>0.07228205236947867</v>
      </c>
      <c r="F5" s="27" t="n">
        <v>0.1710059313833855</v>
      </c>
      <c r="G5" s="27" t="n">
        <v>0.06323546891715202</v>
      </c>
      <c r="H5" s="30" t="n">
        <v>4.151432307143706</v>
      </c>
      <c r="I5" s="27" t="n">
        <v>0.1070961607036729</v>
      </c>
    </row>
    <row r="6">
      <c r="A6" s="29" t="inlineStr">
        <is>
          <t>computers_accessories</t>
        </is>
      </c>
      <c r="B6" s="28" t="n">
        <v>6517</v>
      </c>
      <c r="C6" s="28" t="n">
        <v>7631</v>
      </c>
      <c r="D6" s="31" t="n">
        <v>887944.6</v>
      </c>
      <c r="E6" s="27" t="n">
        <v>0.06737174202544134</v>
      </c>
      <c r="F6" s="27" t="n">
        <v>0.1619438983017634</v>
      </c>
      <c r="G6" s="27" t="n">
        <v>0.06486698990957934</v>
      </c>
      <c r="H6" s="30" t="n">
        <v>3.979426025422617</v>
      </c>
      <c r="I6" s="27" t="n">
        <v>0.1374656008386843</v>
      </c>
    </row>
    <row r="7">
      <c r="A7" s="29" t="inlineStr">
        <is>
          <t>furniture_decor</t>
        </is>
      </c>
      <c r="B7" s="28" t="n">
        <v>6258</v>
      </c>
      <c r="C7" s="28" t="n">
        <v>8095</v>
      </c>
      <c r="D7" s="31" t="n">
        <v>706237.17</v>
      </c>
      <c r="E7" s="27" t="n">
        <v>0.05358490656513679</v>
      </c>
      <c r="F7" s="27" t="n">
        <v>0.2367383183753979</v>
      </c>
      <c r="G7" s="27" t="n">
        <v>0.07090796788140828</v>
      </c>
      <c r="H7" s="30" t="n">
        <v>3.940210006176652</v>
      </c>
      <c r="I7" s="27" t="n">
        <v>0.1403335392217418</v>
      </c>
    </row>
    <row r="8">
      <c r="A8" s="29" t="inlineStr">
        <is>
          <t>housewares</t>
        </is>
      </c>
      <c r="B8" s="28" t="n">
        <v>5734</v>
      </c>
      <c r="C8" s="28" t="n">
        <v>6783</v>
      </c>
      <c r="D8" s="31" t="n">
        <v>614341.62</v>
      </c>
      <c r="E8" s="27" t="n">
        <v>0.04661244084161525</v>
      </c>
      <c r="F8" s="27" t="n">
        <v>0.2319688026345993</v>
      </c>
      <c r="G8" s="27" t="n">
        <v>0.05012531328320802</v>
      </c>
      <c r="H8" s="30" t="n">
        <v>4.094943240454076</v>
      </c>
      <c r="I8" s="27" t="n">
        <v>0.109391124871001</v>
      </c>
    </row>
    <row r="9">
      <c r="A9" s="29" t="inlineStr">
        <is>
          <t>cool_stuff</t>
        </is>
      </c>
      <c r="B9" s="28" t="n">
        <v>3552</v>
      </c>
      <c r="C9" s="28" t="n">
        <v>3711</v>
      </c>
      <c r="D9" s="31" t="n">
        <v>609158</v>
      </c>
      <c r="E9" s="27" t="n">
        <v>0.04621913983004547</v>
      </c>
      <c r="F9" s="27" t="n">
        <v>0.1334399449732253</v>
      </c>
      <c r="G9" s="27" t="n">
        <v>0.05847480463486931</v>
      </c>
      <c r="H9" s="30" t="n">
        <v>4.183239019132309</v>
      </c>
      <c r="I9" s="27" t="n">
        <v>0.09054163298302344</v>
      </c>
    </row>
    <row r="10">
      <c r="A10" s="29" t="inlineStr">
        <is>
          <t>auto</t>
        </is>
      </c>
      <c r="B10" s="28" t="n">
        <v>3801</v>
      </c>
      <c r="C10" s="28" t="n">
        <v>4131</v>
      </c>
      <c r="D10" s="31" t="n">
        <v>577721.09</v>
      </c>
      <c r="E10" s="27" t="n">
        <v>0.04383390161743963</v>
      </c>
      <c r="F10" s="27" t="n">
        <v>0.1562130266007772</v>
      </c>
      <c r="G10" s="27" t="n">
        <v>0.07044299201161947</v>
      </c>
      <c r="H10" s="30" t="n">
        <v>4.090292907286371</v>
      </c>
      <c r="I10" s="27" t="n">
        <v>0.1115952553861051</v>
      </c>
    </row>
    <row r="11">
      <c r="A11" s="29" t="inlineStr">
        <is>
          <t>garden_tools</t>
        </is>
      </c>
      <c r="B11" s="28" t="n">
        <v>3443</v>
      </c>
      <c r="C11" s="28" t="n">
        <v>4263</v>
      </c>
      <c r="D11" s="31" t="n">
        <v>469135.4</v>
      </c>
      <c r="E11" s="27" t="n">
        <v>0.03559509134218761</v>
      </c>
      <c r="F11" s="27" t="n">
        <v>0.2057936578650854</v>
      </c>
      <c r="G11" s="27" t="n">
        <v>0.06568144499178982</v>
      </c>
      <c r="H11" s="30" t="n">
        <v>4.072953319258738</v>
      </c>
      <c r="I11" s="27" t="n">
        <v>0.1193994839315036</v>
      </c>
    </row>
    <row r="12">
      <c r="A12" s="29" t="inlineStr">
        <is>
          <t>toys</t>
        </is>
      </c>
      <c r="B12" s="28" t="n">
        <v>3781</v>
      </c>
      <c r="C12" s="28" t="n">
        <v>4005</v>
      </c>
      <c r="D12" s="31" t="n">
        <v>466990.99</v>
      </c>
      <c r="E12" s="27" t="n">
        <v>0.03543238678008229</v>
      </c>
      <c r="F12" s="27" t="n">
        <v>0.1611892340792271</v>
      </c>
      <c r="G12" s="27" t="n">
        <v>0.06392009987515605</v>
      </c>
      <c r="H12" s="30" t="n">
        <v>4.192259675405743</v>
      </c>
      <c r="I12" s="27" t="n">
        <v>0.1008739076154807</v>
      </c>
    </row>
    <row r="13">
      <c r="A13" s="29" t="inlineStr">
        <is>
          <t>baby</t>
        </is>
      </c>
      <c r="B13" s="28" t="n">
        <v>2800</v>
      </c>
      <c r="C13" s="28" t="n">
        <v>2971</v>
      </c>
      <c r="D13" s="31" t="n">
        <v>399050.67</v>
      </c>
      <c r="E13" s="27" t="n">
        <v>0.0302774956842122</v>
      </c>
      <c r="F13" s="27" t="n">
        <v>0.1657920534251953</v>
      </c>
      <c r="G13" s="27" t="n">
        <v>0.07707842477280377</v>
      </c>
      <c r="H13" s="30" t="n">
        <v>4.062605183439919</v>
      </c>
      <c r="I13" s="27" t="n">
        <v>0.1194883877482329</v>
      </c>
    </row>
    <row r="14">
      <c r="A14" s="29" t="inlineStr">
        <is>
          <t>perfumery</t>
        </is>
      </c>
      <c r="B14" s="28" t="n">
        <v>3060</v>
      </c>
      <c r="C14" s="28" t="n">
        <v>3311</v>
      </c>
      <c r="D14" s="31" t="n">
        <v>385315.55</v>
      </c>
      <c r="E14" s="27" t="n">
        <v>0.029235359765678</v>
      </c>
      <c r="F14" s="27" t="n">
        <v>0.1363580577010193</v>
      </c>
      <c r="G14" s="27" t="n">
        <v>0.06553911205073996</v>
      </c>
      <c r="H14" s="30" t="n">
        <v>4.21594684385382</v>
      </c>
      <c r="I14" s="27" t="n">
        <v>0.1008758683177288</v>
      </c>
    </row>
    <row r="15">
      <c r="A15" s="29" t="inlineStr">
        <is>
          <t>telephony</t>
        </is>
      </c>
      <c r="B15" s="28" t="n">
        <v>4086</v>
      </c>
      <c r="C15" s="28" t="n">
        <v>4422</v>
      </c>
      <c r="D15" s="31" t="n">
        <v>309631.94</v>
      </c>
      <c r="E15" s="27" t="n">
        <v>0.02349295573678463</v>
      </c>
      <c r="F15" s="27" t="n">
        <v>0.223608811158177</v>
      </c>
      <c r="G15" s="27" t="n">
        <v>0.06965174129353234</v>
      </c>
      <c r="H15" s="30" t="n">
        <v>3.986431478968792</v>
      </c>
      <c r="I15" s="27" t="n">
        <v>0.1180461329715061</v>
      </c>
    </row>
    <row r="16">
      <c r="A16" s="29" t="inlineStr">
        <is>
          <t>office_furniture</t>
        </is>
      </c>
      <c r="B16" s="28" t="n">
        <v>1248</v>
      </c>
      <c r="C16" s="28" t="n">
        <v>1662</v>
      </c>
      <c r="D16" s="31" t="n">
        <v>266853.43</v>
      </c>
      <c r="E16" s="27" t="n">
        <v>0.02024718709316344</v>
      </c>
      <c r="F16" s="27" t="n">
        <v>0.2502136847182365</v>
      </c>
      <c r="G16" s="27" t="n">
        <v>0.08002406738868832</v>
      </c>
      <c r="H16" s="30" t="n">
        <v>3.514440433212997</v>
      </c>
      <c r="I16" s="27" t="n">
        <v>0.203971119133574</v>
      </c>
    </row>
    <row r="17">
      <c r="A17" s="29" t="inlineStr">
        <is>
          <t>stationery</t>
        </is>
      </c>
      <c r="B17" s="28" t="n">
        <v>2264</v>
      </c>
      <c r="C17" s="28" t="n">
        <v>2466</v>
      </c>
      <c r="D17" s="31" t="n">
        <v>223788.69</v>
      </c>
      <c r="E17" s="27" t="n">
        <v>0.01697970108821143</v>
      </c>
      <c r="F17" s="27" t="n">
        <v>0.2045963985043212</v>
      </c>
      <c r="G17" s="27" t="n">
        <v>0.06772100567721005</v>
      </c>
      <c r="H17" s="30" t="n">
        <v>4.237226277372263</v>
      </c>
      <c r="I17" s="27" t="n">
        <v>0.08596918085969181</v>
      </c>
    </row>
    <row r="18">
      <c r="A18" s="29" t="inlineStr">
        <is>
          <t>computers</t>
        </is>
      </c>
      <c r="B18" s="28" t="n">
        <v>177</v>
      </c>
      <c r="C18" s="28" t="n">
        <v>199</v>
      </c>
      <c r="D18" s="31" t="n">
        <v>218684.14</v>
      </c>
      <c r="E18" s="27" t="n">
        <v>0.01659239941899021</v>
      </c>
      <c r="F18" s="27" t="n">
        <v>0.04419899861050738</v>
      </c>
      <c r="G18" s="27" t="n">
        <v>0.05025125628140704</v>
      </c>
      <c r="H18" s="30" t="n">
        <v>4.185929648241206</v>
      </c>
      <c r="I18" s="27" t="n">
        <v>0.1155778894472362</v>
      </c>
    </row>
    <row r="19">
      <c r="A19" s="29" t="inlineStr">
        <is>
          <t>pet_shop</t>
        </is>
      </c>
      <c r="B19" s="28" t="n">
        <v>1684</v>
      </c>
      <c r="C19" s="28" t="n">
        <v>1920</v>
      </c>
      <c r="D19" s="31" t="n">
        <v>211005.96</v>
      </c>
      <c r="E19" s="27" t="n">
        <v>0.01600982662989402</v>
      </c>
      <c r="F19" s="27" t="n">
        <v>0.1840345173188473</v>
      </c>
      <c r="G19" s="27" t="n">
        <v>0.04947916666666666</v>
      </c>
      <c r="H19" s="30" t="n">
        <v>4.2078125</v>
      </c>
      <c r="I19" s="27" t="n">
        <v>0.09270833333333334</v>
      </c>
    </row>
    <row r="20">
      <c r="A20" s="29" t="inlineStr">
        <is>
          <t>musical_instruments</t>
        </is>
      </c>
      <c r="B20" s="28" t="n">
        <v>611</v>
      </c>
      <c r="C20" s="28" t="n">
        <v>651</v>
      </c>
      <c r="D20" s="31" t="n">
        <v>184315.74</v>
      </c>
      <c r="E20" s="27" t="n">
        <v>0.01398473788399448</v>
      </c>
      <c r="F20" s="27" t="n">
        <v>0.09696068279355848</v>
      </c>
      <c r="G20" s="27" t="n">
        <v>0.07373271889400922</v>
      </c>
      <c r="H20" s="30" t="n">
        <v>4.204301075268817</v>
      </c>
      <c r="I20" s="27" t="n">
        <v>0.09062980030721969</v>
      </c>
    </row>
    <row r="21">
      <c r="A21" s="29" t="inlineStr">
        <is>
          <t>small_appliances</t>
        </is>
      </c>
      <c r="B21" s="28" t="n">
        <v>609</v>
      </c>
      <c r="C21" s="28" t="n">
        <v>658</v>
      </c>
      <c r="D21" s="31" t="n">
        <v>182754.12</v>
      </c>
      <c r="E21" s="27" t="n">
        <v>0.01386625182103315</v>
      </c>
      <c r="F21" s="27" t="n">
        <v>0.08401643694817933</v>
      </c>
      <c r="G21" s="27" t="n">
        <v>0.04559270516717326</v>
      </c>
      <c r="H21" s="30" t="n">
        <v>4.202127659574468</v>
      </c>
      <c r="I21" s="27" t="n">
        <v>0.09878419452887538</v>
      </c>
    </row>
  </sheetData>
  <conditionalFormatting sqref="D2:D21">
    <cfRule type="dataBar" priority="1">
      <dataBar>
        <cfvo type="num" val="0"/>
        <cfvo type="max"/>
        <color rgb="002A78D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5" t="inlineStr">
        <is>
          <t>Acquisition month</t>
        </is>
      </c>
      <c r="B1" s="25" t="inlineStr">
        <is>
          <t>M+1</t>
        </is>
      </c>
      <c r="C1" s="25" t="inlineStr">
        <is>
          <t>M+2</t>
        </is>
      </c>
      <c r="D1" s="25" t="inlineStr">
        <is>
          <t>M+3</t>
        </is>
      </c>
      <c r="E1" s="25" t="inlineStr">
        <is>
          <t>M+4</t>
        </is>
      </c>
      <c r="F1" s="25" t="inlineStr">
        <is>
          <t>M+5</t>
        </is>
      </c>
      <c r="G1" s="25" t="inlineStr">
        <is>
          <t>M+6</t>
        </is>
      </c>
    </row>
    <row r="2">
      <c r="A2" s="29" t="inlineStr">
        <is>
          <t>2017-01</t>
        </is>
      </c>
      <c r="B2" s="33" t="n">
        <v>0.00279</v>
      </c>
      <c r="C2" s="33" t="n">
        <v>0.00279</v>
      </c>
      <c r="D2" s="33" t="n">
        <v>0.00139</v>
      </c>
      <c r="E2" s="33" t="n">
        <v>0.00418</v>
      </c>
      <c r="F2" s="33" t="n">
        <v>0.00139</v>
      </c>
      <c r="G2" s="33" t="n">
        <v>0.00418</v>
      </c>
    </row>
    <row r="3">
      <c r="A3" s="29" t="inlineStr">
        <is>
          <t>2017-02</t>
        </is>
      </c>
      <c r="B3" s="33" t="n">
        <v>0.00184</v>
      </c>
      <c r="C3" s="33" t="n">
        <v>0.00307</v>
      </c>
      <c r="D3" s="33" t="n">
        <v>0.00123</v>
      </c>
      <c r="E3" s="33" t="n">
        <v>0.0043</v>
      </c>
      <c r="F3" s="33" t="n">
        <v>0.00123</v>
      </c>
      <c r="G3" s="33" t="n">
        <v>0.00246</v>
      </c>
    </row>
    <row r="4">
      <c r="A4" s="29" t="inlineStr">
        <is>
          <t>2017-03</t>
        </is>
      </c>
      <c r="B4" s="33" t="n">
        <v>0.00439</v>
      </c>
      <c r="C4" s="33" t="n">
        <v>0.0036</v>
      </c>
      <c r="D4" s="33" t="n">
        <v>0.004</v>
      </c>
      <c r="E4" s="33" t="n">
        <v>0.0036</v>
      </c>
      <c r="F4" s="33" t="n">
        <v>0.0016</v>
      </c>
      <c r="G4" s="33" t="n">
        <v>0.0016</v>
      </c>
    </row>
    <row r="5">
      <c r="A5" s="29" t="inlineStr">
        <is>
          <t>2017-04</t>
        </is>
      </c>
      <c r="B5" s="33" t="n">
        <v>0.0062</v>
      </c>
      <c r="C5" s="33" t="n">
        <v>0.00222</v>
      </c>
      <c r="D5" s="33" t="n">
        <v>0.00177</v>
      </c>
      <c r="E5" s="33" t="n">
        <v>0.00266</v>
      </c>
      <c r="F5" s="33" t="n">
        <v>0.00266</v>
      </c>
      <c r="G5" s="33" t="n">
        <v>0.00354</v>
      </c>
    </row>
    <row r="6">
      <c r="A6" s="29" t="inlineStr">
        <is>
          <t>2017-05</t>
        </is>
      </c>
      <c r="B6" s="33" t="n">
        <v>0.00464</v>
      </c>
      <c r="C6" s="33" t="n">
        <v>0.00464</v>
      </c>
      <c r="D6" s="33" t="n">
        <v>0.0029</v>
      </c>
      <c r="E6" s="33" t="n">
        <v>0.0029</v>
      </c>
      <c r="F6" s="33" t="n">
        <v>0.00319</v>
      </c>
      <c r="G6" s="33" t="n">
        <v>0.00406</v>
      </c>
    </row>
    <row r="7">
      <c r="A7" s="29" t="inlineStr">
        <is>
          <t>2017-06</t>
        </is>
      </c>
      <c r="B7" s="33" t="n">
        <v>0.00494</v>
      </c>
      <c r="C7" s="33" t="n">
        <v>0.00395</v>
      </c>
      <c r="D7" s="33" t="n">
        <v>0.00428</v>
      </c>
      <c r="E7" s="33" t="n">
        <v>0.00296</v>
      </c>
      <c r="F7" s="33" t="n">
        <v>0.00395</v>
      </c>
      <c r="G7" s="33" t="n">
        <v>0.00362</v>
      </c>
    </row>
    <row r="8">
      <c r="A8" s="29" t="inlineStr">
        <is>
          <t>2017-07</t>
        </is>
      </c>
      <c r="B8" s="33" t="n">
        <v>0.005330000000000001</v>
      </c>
      <c r="C8" s="33" t="n">
        <v>0.00346</v>
      </c>
      <c r="D8" s="33" t="n">
        <v>0.0024</v>
      </c>
      <c r="E8" s="33" t="n">
        <v>0.00293</v>
      </c>
      <c r="F8" s="33" t="n">
        <v>0.00213</v>
      </c>
      <c r="G8" s="33" t="n">
        <v>0.0032</v>
      </c>
    </row>
    <row r="9">
      <c r="A9" s="29" t="inlineStr">
        <is>
          <t>2017-08</t>
        </is>
      </c>
      <c r="B9" s="33" t="n">
        <v>0.0069</v>
      </c>
      <c r="C9" s="33" t="n">
        <v>0.00345</v>
      </c>
      <c r="D9" s="33" t="n">
        <v>0.00271</v>
      </c>
      <c r="E9" s="33" t="n">
        <v>0.00345</v>
      </c>
      <c r="F9" s="33" t="n">
        <v>0.005180000000000001</v>
      </c>
      <c r="G9" s="33" t="n">
        <v>0.00296</v>
      </c>
    </row>
    <row r="10">
      <c r="A10" s="29" t="inlineStr">
        <is>
          <t>2017-09</t>
        </is>
      </c>
      <c r="B10" s="33" t="n">
        <v>0.00699</v>
      </c>
      <c r="C10" s="33" t="n">
        <v>0.00549</v>
      </c>
      <c r="D10" s="33" t="n">
        <v>0.00275</v>
      </c>
      <c r="E10" s="33" t="n">
        <v>0.00449</v>
      </c>
      <c r="F10" s="33" t="n">
        <v>0.00225</v>
      </c>
      <c r="G10" s="33" t="n">
        <v>0.00225</v>
      </c>
    </row>
    <row r="11">
      <c r="A11" s="29" t="inlineStr">
        <is>
          <t>2017-10</t>
        </is>
      </c>
      <c r="B11" s="33" t="n">
        <v>0.00716</v>
      </c>
      <c r="C11" s="33" t="n">
        <v>0.00254</v>
      </c>
      <c r="D11" s="33" t="n">
        <v>0.00092</v>
      </c>
      <c r="E11" s="33" t="n">
        <v>0.00231</v>
      </c>
      <c r="F11" s="33" t="n">
        <v>0.00208</v>
      </c>
      <c r="G11" s="33" t="n">
        <v>0.00208</v>
      </c>
    </row>
    <row r="12">
      <c r="A12" s="29" t="inlineStr">
        <is>
          <t>2017-11</t>
        </is>
      </c>
      <c r="B12" s="33" t="n">
        <v>0.00567</v>
      </c>
      <c r="C12" s="33" t="n">
        <v>0.00368</v>
      </c>
      <c r="D12" s="33" t="n">
        <v>0.0017</v>
      </c>
      <c r="E12" s="33" t="n">
        <v>0.0017</v>
      </c>
      <c r="F12" s="33" t="n">
        <v>0.00184</v>
      </c>
      <c r="G12" s="33" t="n">
        <v>0.00113</v>
      </c>
    </row>
    <row r="13">
      <c r="A13" s="29" t="inlineStr">
        <is>
          <t>2017-12</t>
        </is>
      </c>
      <c r="B13" s="33" t="n">
        <v>0.00206</v>
      </c>
      <c r="C13" s="33" t="n">
        <v>0.00281</v>
      </c>
      <c r="D13" s="33" t="n">
        <v>0.00337</v>
      </c>
      <c r="E13" s="33" t="n">
        <v>0.00262</v>
      </c>
      <c r="F13" s="33" t="n">
        <v>0.00206</v>
      </c>
      <c r="G13" s="33" t="n">
        <v>0.00169</v>
      </c>
    </row>
    <row r="14">
      <c r="A14" s="29" t="inlineStr">
        <is>
          <t>2018-01</t>
        </is>
      </c>
      <c r="B14" s="33" t="n">
        <v>0.00336</v>
      </c>
      <c r="C14" s="33" t="n">
        <v>0.00365</v>
      </c>
      <c r="D14" s="33" t="n">
        <v>0.00292</v>
      </c>
      <c r="E14" s="33" t="n">
        <v>0.00292</v>
      </c>
      <c r="F14" s="33" t="n">
        <v>0.00161</v>
      </c>
      <c r="G14" s="33" t="n">
        <v>0.00175</v>
      </c>
    </row>
    <row r="15">
      <c r="A15" s="29" t="inlineStr">
        <is>
          <t>2018-02</t>
        </is>
      </c>
      <c r="B15" s="33" t="n">
        <v>0.0035</v>
      </c>
      <c r="C15" s="33" t="n">
        <v>0.00398</v>
      </c>
      <c r="D15" s="33" t="n">
        <v>0.00302</v>
      </c>
      <c r="E15" s="33" t="n">
        <v>0.00254</v>
      </c>
      <c r="F15" s="33" t="n">
        <v>0.00223</v>
      </c>
      <c r="G15" s="33" t="n">
        <v>0.00207</v>
      </c>
    </row>
    <row r="17">
      <c r="A17" s="2" t="inlineStr">
        <is>
          <t>% of each month's new customers who placed another order N months later. Cohorts shown have at least 6 months of follow-up.</t>
        </is>
      </c>
    </row>
  </sheetData>
  <mergeCells count="1">
    <mergeCell ref="A17:G17"/>
  </mergeCells>
  <conditionalFormatting sqref="B2:G15">
    <cfRule type="colorScale" priority="1">
      <colorScale>
        <cfvo type="min"/>
        <cfvo type="max"/>
        <color rgb="00FFFFFF"/>
        <color rgb="002A78D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34" t="inlineStr">
        <is>
          <t>Dataset</t>
        </is>
      </c>
      <c r="B1" s="9" t="inlineStr">
        <is>
          <t>Brazilian E-Commerce Public Dataset by Olist — https://www.kaggle.com/datasets/olistbr/brazilian-ecommerce (CC BY-NC-SA 4.0)</t>
        </is>
      </c>
    </row>
    <row r="2" ht="32" customHeight="1">
      <c r="A2" s="34" t="inlineStr">
        <is>
          <t>Analysis population</t>
        </is>
      </c>
      <c r="B2" s="9" t="inlineStr">
        <is>
          <t>Orders with status 'delivered', a delivery date, purchased 1 Jan 2017 – 31 Aug 2018 (20 full months): 96,203 orders, 93,096 customers.</t>
        </is>
      </c>
    </row>
    <row r="3" ht="32" customHeight="1">
      <c r="A3" s="34" t="inlineStr">
        <is>
          <t>Late / delay days</t>
        </is>
      </c>
      <c r="B3" s="9" t="inlineStr">
        <is>
          <t>delay_days = delivered date − promised (estimated) date in calendar days. Late = delay_days &gt; 0.</t>
        </is>
      </c>
    </row>
    <row r="4" ht="32" customHeight="1">
      <c r="A4" s="34" t="inlineStr">
        <is>
          <t>Delivery days</t>
        </is>
      </c>
      <c r="B4" s="9" t="inlineStr">
        <is>
          <t>Purchase timestamp → delivered timestamp. Promised days = purchase → estimated delivery date.</t>
        </is>
      </c>
    </row>
    <row r="5" ht="32" customHeight="1">
      <c r="A5" s="34" t="inlineStr">
        <is>
          <t>Seller handling / carrier transit</t>
        </is>
      </c>
      <c r="B5" s="9" t="inlineStr">
        <is>
          <t>Approved → handed to carrier, and handed to carrier → delivered.</t>
        </is>
      </c>
    </row>
    <row r="6" ht="32" customHeight="1">
      <c r="A6" s="34" t="inlineStr">
        <is>
          <t>Revenue</t>
        </is>
      </c>
      <c r="B6" s="9" t="inlineStr">
        <is>
          <t>Sum of item prices (R$). Freight is reported separately.</t>
        </is>
      </c>
    </row>
    <row r="7" ht="32" customHeight="1">
      <c r="A7" s="34" t="inlineStr">
        <is>
          <t>Review score</t>
        </is>
      </c>
      <c r="B7" s="9" t="inlineStr">
        <is>
          <t>Latest review for the order (555 orders have two).</t>
        </is>
      </c>
    </row>
    <row r="8" ht="32" customHeight="1">
      <c r="A8" s="34" t="inlineStr">
        <is>
          <t>Repeat customer</t>
        </is>
      </c>
      <c r="B8" s="9" t="inlineStr">
        <is>
          <t>customer_unique_id with 2+ delivered orders in the window.</t>
        </is>
      </c>
    </row>
    <row r="9" ht="32" customHeight="1">
      <c r="A9" s="34" t="inlineStr">
        <is>
          <t>Legend</t>
        </is>
      </c>
      <c r="B9" s="9" t="inlineStr">
        <is>
          <t>Yellow cells with blue text = inputs you can change. Blue-shaded cells = reference data from the analysis (with a comment naming the SQL file). Black = formulas.</t>
        </is>
      </c>
    </row>
    <row r="10" ht="32" customHeight="1">
      <c r="A10" s="34" t="inlineStr">
        <is>
          <t>Reproduce</t>
        </is>
      </c>
      <c r="B10" s="9" t="inlineStr">
        <is>
          <t>sql/01..04 build the MySQL schema and fact table; sql/10..20 are the analysis queries; notebooks/olist_analysis.ipynb produces every table in this workbook; scripts/build_excel_summary.py builds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2026-10-13T13:02:46Z</dcterms:created>
  <dcterms:modified xmlns:dcterms="http://purl.org/dc/terms/" xmlns:xsi="http://www.w3.org/2001/XMLSchema-instance" xsi:type="dcterms:W3CDTF">2026-10-13T13:02:46Z</dcterms:modified>
</cp:coreProperties>
</file>